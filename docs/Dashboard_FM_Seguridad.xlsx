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2\www\talentus-pro-tracking\docs\"/>
    </mc:Choice>
  </mc:AlternateContent>
  <xr:revisionPtr revIDLastSave="0" documentId="8_{EC6B6DB5-7263-4CFC-9548-776D2626DEA2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Seguridad" sheetId="1" r:id="rId1"/>
    <sheet name="Operaciones" sheetId="2" r:id="rId2"/>
    <sheet name="Datos" sheetId="3" r:id="rId3"/>
    <sheet name="Telemetrí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28" i="3" l="1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G22" i="2" s="1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G20" i="2" s="1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G17" i="2" s="1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A9" i="2" s="1"/>
  <c r="M12" i="3"/>
  <c r="M11" i="3"/>
  <c r="M10" i="3"/>
  <c r="M9" i="3"/>
  <c r="M8" i="3"/>
  <c r="M7" i="3"/>
  <c r="M6" i="3"/>
  <c r="M5" i="3"/>
  <c r="M5" i="2"/>
  <c r="J5" i="2"/>
  <c r="H5" i="2"/>
  <c r="E5" i="2"/>
  <c r="B5" i="2"/>
  <c r="N113" i="1"/>
  <c r="L113" i="1"/>
  <c r="L112" i="1"/>
  <c r="L111" i="1"/>
  <c r="L110" i="1"/>
  <c r="L109" i="1"/>
  <c r="L108" i="1"/>
  <c r="N108" i="1" s="1"/>
  <c r="L107" i="1"/>
  <c r="L106" i="1"/>
  <c r="G59" i="1"/>
  <c r="A59" i="1"/>
  <c r="J59" i="1" s="1"/>
  <c r="A58" i="1"/>
  <c r="A53" i="1"/>
  <c r="G53" i="1" s="1"/>
  <c r="A33" i="1"/>
  <c r="B25" i="1"/>
  <c r="D25" i="1" s="1"/>
  <c r="D24" i="1"/>
  <c r="I24" i="1" s="1"/>
  <c r="E24" i="1" s="1"/>
  <c r="B24" i="1"/>
  <c r="H24" i="1" s="1"/>
  <c r="B23" i="1"/>
  <c r="H22" i="1"/>
  <c r="B22" i="1"/>
  <c r="D22" i="1" s="1"/>
  <c r="G21" i="1"/>
  <c r="D21" i="1"/>
  <c r="I21" i="1" s="1"/>
  <c r="E21" i="1" s="1"/>
  <c r="B21" i="1"/>
  <c r="B20" i="1"/>
  <c r="B19" i="1"/>
  <c r="D19" i="1" s="1"/>
  <c r="D18" i="1"/>
  <c r="B18" i="1"/>
  <c r="A9" i="1"/>
  <c r="H21" i="1" l="1"/>
  <c r="C20" i="2"/>
  <c r="F20" i="2"/>
  <c r="D20" i="2"/>
  <c r="M112" i="1"/>
  <c r="N112" i="1"/>
  <c r="G21" i="2"/>
  <c r="J53" i="1"/>
  <c r="F24" i="1"/>
  <c r="E20" i="2"/>
  <c r="F17" i="2"/>
  <c r="D17" i="2"/>
  <c r="E17" i="2"/>
  <c r="C17" i="2"/>
  <c r="I18" i="1"/>
  <c r="F21" i="1"/>
  <c r="G24" i="1"/>
  <c r="J58" i="1"/>
  <c r="G58" i="1"/>
  <c r="D9" i="2"/>
  <c r="N106" i="1"/>
  <c r="G15" i="2"/>
  <c r="G9" i="1"/>
  <c r="J9" i="2"/>
  <c r="D9" i="1"/>
  <c r="J24" i="1"/>
  <c r="I25" i="1"/>
  <c r="G25" i="1"/>
  <c r="G9" i="2"/>
  <c r="I59" i="1"/>
  <c r="F59" i="1"/>
  <c r="E59" i="1"/>
  <c r="I22" i="1"/>
  <c r="G22" i="1"/>
  <c r="H25" i="1"/>
  <c r="D59" i="1"/>
  <c r="N109" i="1"/>
  <c r="I19" i="1"/>
  <c r="G19" i="1"/>
  <c r="H19" i="1" s="1"/>
  <c r="M108" i="1"/>
  <c r="G18" i="1"/>
  <c r="H18" i="1" s="1"/>
  <c r="J21" i="1"/>
  <c r="L119" i="1"/>
  <c r="A54" i="1"/>
  <c r="A57" i="1"/>
  <c r="A34" i="1"/>
  <c r="A60" i="1"/>
  <c r="A55" i="1"/>
  <c r="A56" i="1"/>
  <c r="B33" i="1"/>
  <c r="H59" i="1"/>
  <c r="H23" i="1"/>
  <c r="D23" i="1"/>
  <c r="M110" i="1"/>
  <c r="N110" i="1"/>
  <c r="D20" i="1"/>
  <c r="J12" i="1" s="1"/>
  <c r="E33" i="1"/>
  <c r="E22" i="2"/>
  <c r="F22" i="2"/>
  <c r="D22" i="2"/>
  <c r="C22" i="2"/>
  <c r="G18" i="2"/>
  <c r="N107" i="1"/>
  <c r="M107" i="1"/>
  <c r="M109" i="1"/>
  <c r="N111" i="1"/>
  <c r="M111" i="1"/>
  <c r="G19" i="2"/>
  <c r="M106" i="1"/>
  <c r="M113" i="1"/>
  <c r="G16" i="2"/>
  <c r="G60" i="1" l="1"/>
  <c r="J60" i="1"/>
  <c r="J54" i="1"/>
  <c r="G54" i="1"/>
  <c r="D15" i="2"/>
  <c r="F15" i="2"/>
  <c r="E15" i="2"/>
  <c r="C15" i="2"/>
  <c r="I23" i="1"/>
  <c r="G23" i="1"/>
  <c r="L120" i="1"/>
  <c r="A67" i="1"/>
  <c r="A65" i="1"/>
  <c r="A68" i="1"/>
  <c r="A66" i="1"/>
  <c r="A61" i="1"/>
  <c r="A64" i="1"/>
  <c r="A63" i="1"/>
  <c r="B34" i="1"/>
  <c r="A35" i="1"/>
  <c r="A62" i="1"/>
  <c r="E34" i="1"/>
  <c r="J57" i="1"/>
  <c r="G57" i="1"/>
  <c r="F22" i="1"/>
  <c r="E22" i="1"/>
  <c r="J22" i="1"/>
  <c r="F18" i="2"/>
  <c r="E18" i="2"/>
  <c r="D18" i="2"/>
  <c r="C18" i="2"/>
  <c r="E58" i="1"/>
  <c r="H58" i="1"/>
  <c r="F58" i="1"/>
  <c r="D58" i="1"/>
  <c r="I58" i="1"/>
  <c r="I53" i="1"/>
  <c r="E53" i="1"/>
  <c r="F53" i="1" s="1"/>
  <c r="D53" i="1"/>
  <c r="F21" i="2"/>
  <c r="D21" i="2"/>
  <c r="C21" i="2"/>
  <c r="E21" i="2"/>
  <c r="D16" i="2"/>
  <c r="F16" i="2"/>
  <c r="E16" i="2"/>
  <c r="C16" i="2"/>
  <c r="J56" i="1"/>
  <c r="G56" i="1"/>
  <c r="F25" i="1"/>
  <c r="E25" i="1"/>
  <c r="J25" i="1"/>
  <c r="E18" i="1"/>
  <c r="F18" i="1"/>
  <c r="J18" i="1"/>
  <c r="H33" i="1"/>
  <c r="M119" i="1" s="1"/>
  <c r="C33" i="1"/>
  <c r="D33" i="1" s="1"/>
  <c r="F19" i="1"/>
  <c r="E19" i="1"/>
  <c r="J19" i="1"/>
  <c r="D19" i="2"/>
  <c r="C19" i="2"/>
  <c r="F19" i="2"/>
  <c r="E19" i="2"/>
  <c r="I20" i="1"/>
  <c r="G20" i="1"/>
  <c r="H20" i="1" s="1"/>
  <c r="G12" i="1" s="1"/>
  <c r="M140" i="1" s="1"/>
  <c r="J55" i="1"/>
  <c r="G55" i="1"/>
  <c r="G63" i="1" l="1"/>
  <c r="J63" i="1"/>
  <c r="I56" i="1"/>
  <c r="D56" i="1"/>
  <c r="E56" i="1"/>
  <c r="H56" i="1" s="1"/>
  <c r="H53" i="1"/>
  <c r="J61" i="1"/>
  <c r="G61" i="1"/>
  <c r="G66" i="1"/>
  <c r="J66" i="1"/>
  <c r="I54" i="1"/>
  <c r="E54" i="1"/>
  <c r="F54" i="1" s="1"/>
  <c r="D54" i="1"/>
  <c r="J68" i="1"/>
  <c r="G68" i="1"/>
  <c r="E60" i="1"/>
  <c r="D60" i="1"/>
  <c r="H60" i="1"/>
  <c r="I60" i="1"/>
  <c r="F60" i="1"/>
  <c r="J64" i="1"/>
  <c r="G64" i="1"/>
  <c r="E57" i="1"/>
  <c r="I57" i="1"/>
  <c r="H57" i="1"/>
  <c r="F57" i="1"/>
  <c r="D57" i="1"/>
  <c r="E55" i="1"/>
  <c r="H55" i="1"/>
  <c r="D55" i="1"/>
  <c r="F55" i="1" s="1"/>
  <c r="I55" i="1"/>
  <c r="G67" i="1"/>
  <c r="J67" i="1"/>
  <c r="A12" i="1"/>
  <c r="M138" i="1" s="1"/>
  <c r="J65" i="1"/>
  <c r="G65" i="1"/>
  <c r="G62" i="1"/>
  <c r="J62" i="1"/>
  <c r="J9" i="1"/>
  <c r="J20" i="1"/>
  <c r="E20" i="1"/>
  <c r="F20" i="1"/>
  <c r="A76" i="1"/>
  <c r="A72" i="1"/>
  <c r="E35" i="1"/>
  <c r="A70" i="1"/>
  <c r="B35" i="1"/>
  <c r="A73" i="1"/>
  <c r="A71" i="1"/>
  <c r="A69" i="1"/>
  <c r="A36" i="1"/>
  <c r="A75" i="1"/>
  <c r="L121" i="1"/>
  <c r="A74" i="1"/>
  <c r="D12" i="1"/>
  <c r="M139" i="1" s="1"/>
  <c r="C34" i="1"/>
  <c r="D34" i="1" s="1"/>
  <c r="H34" i="1"/>
  <c r="M120" i="1" s="1"/>
  <c r="J23" i="1"/>
  <c r="E23" i="1"/>
  <c r="F23" i="1"/>
  <c r="J72" i="1" l="1"/>
  <c r="G72" i="1"/>
  <c r="J76" i="1"/>
  <c r="G76" i="1"/>
  <c r="I66" i="1"/>
  <c r="H66" i="1"/>
  <c r="E66" i="1"/>
  <c r="F66" i="1" s="1"/>
  <c r="D66" i="1"/>
  <c r="E61" i="1"/>
  <c r="H61" i="1" s="1"/>
  <c r="I61" i="1"/>
  <c r="D61" i="1"/>
  <c r="A82" i="1"/>
  <c r="A77" i="1"/>
  <c r="A83" i="1"/>
  <c r="L122" i="1"/>
  <c r="A81" i="1"/>
  <c r="A37" i="1"/>
  <c r="A84" i="1"/>
  <c r="A79" i="1"/>
  <c r="A80" i="1"/>
  <c r="B36" i="1"/>
  <c r="E36" i="1"/>
  <c r="A78" i="1"/>
  <c r="J69" i="1"/>
  <c r="G69" i="1"/>
  <c r="I62" i="1"/>
  <c r="D62" i="1"/>
  <c r="E62" i="1"/>
  <c r="F62" i="1" s="1"/>
  <c r="J71" i="1"/>
  <c r="G71" i="1"/>
  <c r="J73" i="1"/>
  <c r="G73" i="1"/>
  <c r="D68" i="1"/>
  <c r="I68" i="1"/>
  <c r="E68" i="1"/>
  <c r="F68" i="1" s="1"/>
  <c r="H68" i="1"/>
  <c r="F56" i="1"/>
  <c r="C35" i="1"/>
  <c r="D35" i="1" s="1"/>
  <c r="H35" i="1"/>
  <c r="M121" i="1" s="1"/>
  <c r="G70" i="1"/>
  <c r="J70" i="1"/>
  <c r="I65" i="1"/>
  <c r="F65" i="1"/>
  <c r="D65" i="1"/>
  <c r="E65" i="1"/>
  <c r="H65" i="1"/>
  <c r="H54" i="1"/>
  <c r="G75" i="1"/>
  <c r="J75" i="1"/>
  <c r="I63" i="1"/>
  <c r="E63" i="1"/>
  <c r="F63" i="1" s="1"/>
  <c r="D63" i="1"/>
  <c r="E67" i="1"/>
  <c r="F67" i="1" s="1"/>
  <c r="H67" i="1"/>
  <c r="I67" i="1"/>
  <c r="D67" i="1"/>
  <c r="J74" i="1"/>
  <c r="G74" i="1"/>
  <c r="E64" i="1"/>
  <c r="F64" i="1" s="1"/>
  <c r="I64" i="1"/>
  <c r="D64" i="1"/>
  <c r="H62" i="1" l="1"/>
  <c r="D74" i="1"/>
  <c r="E74" i="1"/>
  <c r="I74" i="1"/>
  <c r="H74" i="1"/>
  <c r="F74" i="1"/>
  <c r="A92" i="1"/>
  <c r="A88" i="1"/>
  <c r="A86" i="1"/>
  <c r="L123" i="1"/>
  <c r="A89" i="1"/>
  <c r="A91" i="1"/>
  <c r="A90" i="1"/>
  <c r="A87" i="1"/>
  <c r="B37" i="1"/>
  <c r="E37" i="1"/>
  <c r="A85" i="1"/>
  <c r="A38" i="1"/>
  <c r="J84" i="1"/>
  <c r="G84" i="1"/>
  <c r="J81" i="1"/>
  <c r="G81" i="1"/>
  <c r="G79" i="1"/>
  <c r="J79" i="1"/>
  <c r="H64" i="1"/>
  <c r="H63" i="1"/>
  <c r="E69" i="1"/>
  <c r="H69" i="1" s="1"/>
  <c r="I69" i="1"/>
  <c r="D69" i="1"/>
  <c r="G83" i="1"/>
  <c r="J83" i="1"/>
  <c r="E70" i="1"/>
  <c r="H70" i="1" s="1"/>
  <c r="D70" i="1"/>
  <c r="I70" i="1"/>
  <c r="I73" i="1"/>
  <c r="H73" i="1"/>
  <c r="E73" i="1"/>
  <c r="F73" i="1" s="1"/>
  <c r="D73" i="1"/>
  <c r="J78" i="1"/>
  <c r="G78" i="1"/>
  <c r="G77" i="1"/>
  <c r="J77" i="1"/>
  <c r="G82" i="1"/>
  <c r="J82" i="1"/>
  <c r="I76" i="1"/>
  <c r="D76" i="1"/>
  <c r="H76" i="1"/>
  <c r="E76" i="1"/>
  <c r="F76" i="1" s="1"/>
  <c r="D71" i="1"/>
  <c r="I71" i="1"/>
  <c r="E71" i="1"/>
  <c r="H71" i="1" s="1"/>
  <c r="H36" i="1"/>
  <c r="M122" i="1" s="1"/>
  <c r="C36" i="1"/>
  <c r="D36" i="1" s="1"/>
  <c r="F61" i="1"/>
  <c r="J80" i="1"/>
  <c r="G80" i="1"/>
  <c r="D72" i="1"/>
  <c r="I72" i="1"/>
  <c r="E72" i="1"/>
  <c r="F72" i="1" s="1"/>
  <c r="H75" i="1"/>
  <c r="F75" i="1"/>
  <c r="I75" i="1"/>
  <c r="E75" i="1"/>
  <c r="D75" i="1"/>
  <c r="F71" i="1" l="1"/>
  <c r="A100" i="1"/>
  <c r="A95" i="1"/>
  <c r="L124" i="1"/>
  <c r="E38" i="1"/>
  <c r="A99" i="1"/>
  <c r="A97" i="1"/>
  <c r="A93" i="1"/>
  <c r="B38" i="1"/>
  <c r="A98" i="1"/>
  <c r="A96" i="1"/>
  <c r="A39" i="1"/>
  <c r="A94" i="1"/>
  <c r="G88" i="1"/>
  <c r="J88" i="1"/>
  <c r="D80" i="1"/>
  <c r="I80" i="1"/>
  <c r="E80" i="1"/>
  <c r="H80" i="1" s="1"/>
  <c r="F69" i="1"/>
  <c r="H72" i="1"/>
  <c r="J85" i="1"/>
  <c r="G85" i="1"/>
  <c r="J92" i="1"/>
  <c r="G92" i="1"/>
  <c r="C37" i="1"/>
  <c r="D37" i="1" s="1"/>
  <c r="H37" i="1"/>
  <c r="M123" i="1" s="1"/>
  <c r="F70" i="1"/>
  <c r="G87" i="1"/>
  <c r="J87" i="1"/>
  <c r="I82" i="1"/>
  <c r="H82" i="1"/>
  <c r="E82" i="1"/>
  <c r="F82" i="1"/>
  <c r="D82" i="1"/>
  <c r="J90" i="1"/>
  <c r="G90" i="1"/>
  <c r="E79" i="1"/>
  <c r="H79" i="1" s="1"/>
  <c r="D79" i="1"/>
  <c r="I79" i="1"/>
  <c r="J91" i="1"/>
  <c r="G91" i="1"/>
  <c r="D77" i="1"/>
  <c r="I77" i="1"/>
  <c r="E77" i="1"/>
  <c r="H77" i="1" s="1"/>
  <c r="D83" i="1"/>
  <c r="H83" i="1"/>
  <c r="I83" i="1"/>
  <c r="E83" i="1"/>
  <c r="F83" i="1" s="1"/>
  <c r="H81" i="1"/>
  <c r="E81" i="1"/>
  <c r="I81" i="1"/>
  <c r="F81" i="1"/>
  <c r="D81" i="1"/>
  <c r="J89" i="1"/>
  <c r="G89" i="1"/>
  <c r="I78" i="1"/>
  <c r="E78" i="1"/>
  <c r="H78" i="1" s="1"/>
  <c r="D78" i="1"/>
  <c r="H84" i="1"/>
  <c r="E84" i="1"/>
  <c r="F84" i="1" s="1"/>
  <c r="D84" i="1"/>
  <c r="I84" i="1"/>
  <c r="J86" i="1"/>
  <c r="G86" i="1"/>
  <c r="F80" i="1" l="1"/>
  <c r="G99" i="1"/>
  <c r="J99" i="1"/>
  <c r="D89" i="1"/>
  <c r="I89" i="1"/>
  <c r="H89" i="1"/>
  <c r="E89" i="1"/>
  <c r="F89" i="1" s="1"/>
  <c r="F77" i="1"/>
  <c r="D92" i="1"/>
  <c r="H92" i="1"/>
  <c r="F92" i="1"/>
  <c r="E92" i="1"/>
  <c r="I92" i="1"/>
  <c r="J95" i="1"/>
  <c r="G95" i="1"/>
  <c r="J94" i="1"/>
  <c r="G94" i="1"/>
  <c r="J100" i="1"/>
  <c r="G100" i="1"/>
  <c r="D88" i="1"/>
  <c r="I88" i="1"/>
  <c r="E88" i="1"/>
  <c r="H88" i="1" s="1"/>
  <c r="E85" i="1"/>
  <c r="F85" i="1" s="1"/>
  <c r="I85" i="1"/>
  <c r="D85" i="1"/>
  <c r="L125" i="1"/>
  <c r="A107" i="1"/>
  <c r="A104" i="1"/>
  <c r="A108" i="1"/>
  <c r="A40" i="1"/>
  <c r="A105" i="1"/>
  <c r="A103" i="1"/>
  <c r="A101" i="1"/>
  <c r="A106" i="1"/>
  <c r="A102" i="1"/>
  <c r="B39" i="1"/>
  <c r="E39" i="1"/>
  <c r="H90" i="1"/>
  <c r="D90" i="1"/>
  <c r="E90" i="1"/>
  <c r="F90" i="1" s="1"/>
  <c r="I90" i="1"/>
  <c r="F78" i="1"/>
  <c r="G96" i="1"/>
  <c r="J96" i="1"/>
  <c r="I91" i="1"/>
  <c r="H91" i="1"/>
  <c r="D91" i="1"/>
  <c r="E91" i="1"/>
  <c r="F91" i="1" s="1"/>
  <c r="J98" i="1"/>
  <c r="G98" i="1"/>
  <c r="D86" i="1"/>
  <c r="E86" i="1"/>
  <c r="H86" i="1" s="1"/>
  <c r="I86" i="1"/>
  <c r="H87" i="1"/>
  <c r="I87" i="1"/>
  <c r="E87" i="1"/>
  <c r="D87" i="1"/>
  <c r="F87" i="1" s="1"/>
  <c r="C38" i="1"/>
  <c r="D38" i="1" s="1"/>
  <c r="H38" i="1"/>
  <c r="M124" i="1" s="1"/>
  <c r="F79" i="1"/>
  <c r="J93" i="1"/>
  <c r="G93" i="1"/>
  <c r="G97" i="1"/>
  <c r="J97" i="1"/>
  <c r="F86" i="1" l="1"/>
  <c r="J104" i="1"/>
  <c r="G104" i="1"/>
  <c r="F88" i="1"/>
  <c r="H39" i="1"/>
  <c r="M125" i="1" s="1"/>
  <c r="C39" i="1"/>
  <c r="D39" i="1" s="1"/>
  <c r="I100" i="1"/>
  <c r="H100" i="1"/>
  <c r="E100" i="1"/>
  <c r="D100" i="1"/>
  <c r="F100" i="1"/>
  <c r="G107" i="1"/>
  <c r="J107" i="1"/>
  <c r="G106" i="1"/>
  <c r="J106" i="1"/>
  <c r="H85" i="1"/>
  <c r="I94" i="1"/>
  <c r="E94" i="1"/>
  <c r="H94" i="1" s="1"/>
  <c r="D94" i="1"/>
  <c r="D95" i="1"/>
  <c r="E95" i="1"/>
  <c r="F95" i="1" s="1"/>
  <c r="I95" i="1"/>
  <c r="H99" i="1"/>
  <c r="D99" i="1"/>
  <c r="E99" i="1"/>
  <c r="F99" i="1" s="1"/>
  <c r="I99" i="1"/>
  <c r="G102" i="1"/>
  <c r="J102" i="1"/>
  <c r="G101" i="1"/>
  <c r="J101" i="1"/>
  <c r="G103" i="1"/>
  <c r="J103" i="1"/>
  <c r="J105" i="1"/>
  <c r="G105" i="1"/>
  <c r="H97" i="1"/>
  <c r="F97" i="1"/>
  <c r="E97" i="1"/>
  <c r="D97" i="1"/>
  <c r="I97" i="1"/>
  <c r="I96" i="1"/>
  <c r="E96" i="1"/>
  <c r="H96" i="1" s="1"/>
  <c r="D96" i="1"/>
  <c r="F96" i="1" s="1"/>
  <c r="D98" i="1"/>
  <c r="F98" i="1"/>
  <c r="H98" i="1"/>
  <c r="I98" i="1"/>
  <c r="E98" i="1"/>
  <c r="L126" i="1"/>
  <c r="A109" i="1"/>
  <c r="A114" i="1"/>
  <c r="A116" i="1"/>
  <c r="A112" i="1"/>
  <c r="A110" i="1"/>
  <c r="A113" i="1"/>
  <c r="A115" i="1"/>
  <c r="A111" i="1"/>
  <c r="E40" i="1"/>
  <c r="B40" i="1"/>
  <c r="A41" i="1"/>
  <c r="I93" i="1"/>
  <c r="E93" i="1"/>
  <c r="H93" i="1" s="1"/>
  <c r="D93" i="1"/>
  <c r="G108" i="1"/>
  <c r="J108" i="1"/>
  <c r="F93" i="1" l="1"/>
  <c r="J112" i="1"/>
  <c r="G112" i="1"/>
  <c r="J116" i="1"/>
  <c r="G116" i="1"/>
  <c r="H102" i="1"/>
  <c r="I102" i="1"/>
  <c r="D102" i="1"/>
  <c r="E102" i="1"/>
  <c r="F102" i="1" s="1"/>
  <c r="J110" i="1"/>
  <c r="G110" i="1"/>
  <c r="J114" i="1"/>
  <c r="G114" i="1"/>
  <c r="A122" i="1"/>
  <c r="A119" i="1"/>
  <c r="A120" i="1"/>
  <c r="A121" i="1"/>
  <c r="A123" i="1"/>
  <c r="E41" i="1"/>
  <c r="A118" i="1"/>
  <c r="B41" i="1"/>
  <c r="A117" i="1"/>
  <c r="L127" i="1"/>
  <c r="A124" i="1"/>
  <c r="A42" i="1"/>
  <c r="C40" i="1"/>
  <c r="D40" i="1" s="1"/>
  <c r="H40" i="1"/>
  <c r="M126" i="1" s="1"/>
  <c r="D101" i="1"/>
  <c r="E101" i="1"/>
  <c r="H101" i="1" s="1"/>
  <c r="I101" i="1"/>
  <c r="H95" i="1"/>
  <c r="F94" i="1"/>
  <c r="J109" i="1"/>
  <c r="G109" i="1"/>
  <c r="E108" i="1"/>
  <c r="F108" i="1" s="1"/>
  <c r="I108" i="1"/>
  <c r="H108" i="1"/>
  <c r="D108" i="1"/>
  <c r="J111" i="1"/>
  <c r="G111" i="1"/>
  <c r="G115" i="1"/>
  <c r="J115" i="1"/>
  <c r="I106" i="1"/>
  <c r="H106" i="1"/>
  <c r="D106" i="1"/>
  <c r="E106" i="1"/>
  <c r="F106" i="1" s="1"/>
  <c r="G113" i="1"/>
  <c r="J113" i="1"/>
  <c r="E103" i="1"/>
  <c r="F103" i="1" s="1"/>
  <c r="D103" i="1"/>
  <c r="I103" i="1"/>
  <c r="I107" i="1"/>
  <c r="D107" i="1"/>
  <c r="H107" i="1"/>
  <c r="F107" i="1"/>
  <c r="E107" i="1"/>
  <c r="D104" i="1"/>
  <c r="I104" i="1"/>
  <c r="E104" i="1"/>
  <c r="H104" i="1" s="1"/>
  <c r="H105" i="1"/>
  <c r="I105" i="1"/>
  <c r="E105" i="1"/>
  <c r="F105" i="1" s="1"/>
  <c r="D105" i="1"/>
  <c r="H103" i="1" l="1"/>
  <c r="G123" i="1"/>
  <c r="J123" i="1"/>
  <c r="G121" i="1"/>
  <c r="J121" i="1"/>
  <c r="A128" i="1"/>
  <c r="A125" i="1"/>
  <c r="A132" i="1"/>
  <c r="A127" i="1"/>
  <c r="A43" i="1"/>
  <c r="A129" i="1"/>
  <c r="A131" i="1"/>
  <c r="L128" i="1"/>
  <c r="A126" i="1"/>
  <c r="B42" i="1"/>
  <c r="E42" i="1"/>
  <c r="A130" i="1"/>
  <c r="G119" i="1"/>
  <c r="J119" i="1"/>
  <c r="I109" i="1"/>
  <c r="E109" i="1"/>
  <c r="H109" i="1" s="1"/>
  <c r="D109" i="1"/>
  <c r="F109" i="1" s="1"/>
  <c r="G124" i="1"/>
  <c r="J124" i="1"/>
  <c r="J122" i="1"/>
  <c r="G122" i="1"/>
  <c r="I116" i="1"/>
  <c r="D116" i="1"/>
  <c r="H116" i="1"/>
  <c r="E116" i="1"/>
  <c r="F116" i="1" s="1"/>
  <c r="H114" i="1"/>
  <c r="I114" i="1"/>
  <c r="E114" i="1"/>
  <c r="D114" i="1"/>
  <c r="F114" i="1"/>
  <c r="D112" i="1"/>
  <c r="E112" i="1"/>
  <c r="H112" i="1" s="1"/>
  <c r="I112" i="1"/>
  <c r="D113" i="1"/>
  <c r="I113" i="1"/>
  <c r="H113" i="1"/>
  <c r="E113" i="1"/>
  <c r="F113" i="1" s="1"/>
  <c r="G117" i="1"/>
  <c r="J117" i="1"/>
  <c r="F104" i="1"/>
  <c r="C41" i="1"/>
  <c r="D41" i="1" s="1"/>
  <c r="H41" i="1"/>
  <c r="M127" i="1" s="1"/>
  <c r="E115" i="1"/>
  <c r="I115" i="1"/>
  <c r="H115" i="1"/>
  <c r="F115" i="1"/>
  <c r="D115" i="1"/>
  <c r="J120" i="1"/>
  <c r="G120" i="1"/>
  <c r="F101" i="1"/>
  <c r="G118" i="1"/>
  <c r="J118" i="1"/>
  <c r="I110" i="1"/>
  <c r="D110" i="1"/>
  <c r="F110" i="1" s="1"/>
  <c r="E110" i="1"/>
  <c r="H110" i="1"/>
  <c r="E111" i="1"/>
  <c r="H111" i="1" s="1"/>
  <c r="I111" i="1"/>
  <c r="D111" i="1"/>
  <c r="F111" i="1" s="1"/>
  <c r="J132" i="1" l="1"/>
  <c r="G132" i="1"/>
  <c r="J128" i="1"/>
  <c r="G128" i="1"/>
  <c r="E122" i="1"/>
  <c r="I122" i="1"/>
  <c r="H122" i="1"/>
  <c r="F122" i="1"/>
  <c r="D122" i="1"/>
  <c r="H121" i="1"/>
  <c r="E121" i="1"/>
  <c r="I121" i="1"/>
  <c r="D121" i="1"/>
  <c r="F121" i="1"/>
  <c r="G130" i="1"/>
  <c r="J130" i="1"/>
  <c r="J125" i="1"/>
  <c r="G125" i="1"/>
  <c r="D124" i="1"/>
  <c r="I124" i="1"/>
  <c r="H124" i="1"/>
  <c r="E124" i="1"/>
  <c r="F124" i="1" s="1"/>
  <c r="C42" i="1"/>
  <c r="H42" i="1"/>
  <c r="M128" i="1" s="1"/>
  <c r="D42" i="1"/>
  <c r="E117" i="1"/>
  <c r="H117" i="1" s="1"/>
  <c r="I117" i="1"/>
  <c r="F117" i="1"/>
  <c r="D117" i="1"/>
  <c r="J126" i="1"/>
  <c r="G126" i="1"/>
  <c r="E123" i="1"/>
  <c r="I123" i="1"/>
  <c r="D123" i="1"/>
  <c r="H123" i="1"/>
  <c r="F123" i="1"/>
  <c r="E118" i="1"/>
  <c r="F118" i="1" s="1"/>
  <c r="D118" i="1"/>
  <c r="I118" i="1"/>
  <c r="I120" i="1"/>
  <c r="E120" i="1"/>
  <c r="F120" i="1" s="1"/>
  <c r="D120" i="1"/>
  <c r="F112" i="1"/>
  <c r="G129" i="1"/>
  <c r="J129" i="1"/>
  <c r="J131" i="1"/>
  <c r="G131" i="1"/>
  <c r="A134" i="1"/>
  <c r="A139" i="1"/>
  <c r="A137" i="1"/>
  <c r="A140" i="1"/>
  <c r="A136" i="1"/>
  <c r="A133" i="1"/>
  <c r="L129" i="1"/>
  <c r="B43" i="1"/>
  <c r="A138" i="1"/>
  <c r="A135" i="1"/>
  <c r="A44" i="1"/>
  <c r="E43" i="1"/>
  <c r="I119" i="1"/>
  <c r="D119" i="1"/>
  <c r="E119" i="1"/>
  <c r="F119" i="1" s="1"/>
  <c r="J127" i="1"/>
  <c r="G127" i="1"/>
  <c r="J135" i="1" l="1"/>
  <c r="G135" i="1"/>
  <c r="I131" i="1"/>
  <c r="D131" i="1"/>
  <c r="H131" i="1"/>
  <c r="E131" i="1"/>
  <c r="F131" i="1" s="1"/>
  <c r="H118" i="1"/>
  <c r="H43" i="1"/>
  <c r="M129" i="1" s="1"/>
  <c r="C43" i="1"/>
  <c r="D43" i="1" s="1"/>
  <c r="I125" i="1"/>
  <c r="D125" i="1"/>
  <c r="E125" i="1"/>
  <c r="H125" i="1" s="1"/>
  <c r="E127" i="1"/>
  <c r="H127" i="1" s="1"/>
  <c r="D127" i="1"/>
  <c r="I127" i="1"/>
  <c r="I130" i="1"/>
  <c r="D130" i="1"/>
  <c r="E130" i="1"/>
  <c r="F130" i="1" s="1"/>
  <c r="H130" i="1"/>
  <c r="I128" i="1"/>
  <c r="E128" i="1"/>
  <c r="H128" i="1" s="1"/>
  <c r="D128" i="1"/>
  <c r="E129" i="1"/>
  <c r="F129" i="1" s="1"/>
  <c r="D129" i="1"/>
  <c r="I129" i="1"/>
  <c r="H129" i="1"/>
  <c r="H119" i="1"/>
  <c r="J140" i="1"/>
  <c r="G140" i="1"/>
  <c r="E132" i="1"/>
  <c r="F132" i="1" s="1"/>
  <c r="H132" i="1"/>
  <c r="I132" i="1"/>
  <c r="D132" i="1"/>
  <c r="G138" i="1"/>
  <c r="J138" i="1"/>
  <c r="J137" i="1"/>
  <c r="G137" i="1"/>
  <c r="G139" i="1"/>
  <c r="J139" i="1"/>
  <c r="H120" i="1"/>
  <c r="J134" i="1"/>
  <c r="G134" i="1"/>
  <c r="J133" i="1"/>
  <c r="G133" i="1"/>
  <c r="J136" i="1"/>
  <c r="G136" i="1"/>
  <c r="A142" i="1"/>
  <c r="L130" i="1"/>
  <c r="A141" i="1"/>
  <c r="A148" i="1"/>
  <c r="A145" i="1"/>
  <c r="A45" i="1"/>
  <c r="A147" i="1"/>
  <c r="A144" i="1"/>
  <c r="E44" i="1"/>
  <c r="A143" i="1"/>
  <c r="A146" i="1"/>
  <c r="B44" i="1"/>
  <c r="E126" i="1"/>
  <c r="F126" i="1" s="1"/>
  <c r="I126" i="1"/>
  <c r="D126" i="1"/>
  <c r="G144" i="1" l="1"/>
  <c r="J144" i="1"/>
  <c r="J147" i="1"/>
  <c r="G147" i="1"/>
  <c r="E134" i="1"/>
  <c r="H134" i="1" s="1"/>
  <c r="I134" i="1"/>
  <c r="D134" i="1"/>
  <c r="A151" i="1"/>
  <c r="A150" i="1"/>
  <c r="L131" i="1"/>
  <c r="A154" i="1"/>
  <c r="A156" i="1"/>
  <c r="A153" i="1"/>
  <c r="A46" i="1"/>
  <c r="A155" i="1"/>
  <c r="A149" i="1"/>
  <c r="A152" i="1"/>
  <c r="E45" i="1"/>
  <c r="B45" i="1"/>
  <c r="F128" i="1"/>
  <c r="F127" i="1"/>
  <c r="J145" i="1"/>
  <c r="G145" i="1"/>
  <c r="H126" i="1"/>
  <c r="J148" i="1"/>
  <c r="G148" i="1"/>
  <c r="H139" i="1"/>
  <c r="E139" i="1"/>
  <c r="F139" i="1" s="1"/>
  <c r="D139" i="1"/>
  <c r="I139" i="1"/>
  <c r="J141" i="1"/>
  <c r="G141" i="1"/>
  <c r="F125" i="1"/>
  <c r="J142" i="1"/>
  <c r="G142" i="1"/>
  <c r="H137" i="1"/>
  <c r="I137" i="1"/>
  <c r="E137" i="1"/>
  <c r="F137" i="1" s="1"/>
  <c r="D137" i="1"/>
  <c r="E140" i="1"/>
  <c r="F140" i="1" s="1"/>
  <c r="I140" i="1"/>
  <c r="H140" i="1"/>
  <c r="D140" i="1"/>
  <c r="J143" i="1"/>
  <c r="G143" i="1"/>
  <c r="E135" i="1"/>
  <c r="H135" i="1" s="1"/>
  <c r="D135" i="1"/>
  <c r="I135" i="1"/>
  <c r="I136" i="1"/>
  <c r="D136" i="1"/>
  <c r="F136" i="1" s="1"/>
  <c r="E136" i="1"/>
  <c r="H136" i="1" s="1"/>
  <c r="D44" i="1"/>
  <c r="H44" i="1"/>
  <c r="M130" i="1" s="1"/>
  <c r="C44" i="1"/>
  <c r="J146" i="1"/>
  <c r="G146" i="1"/>
  <c r="E138" i="1"/>
  <c r="I138" i="1"/>
  <c r="H138" i="1"/>
  <c r="F138" i="1"/>
  <c r="D138" i="1"/>
  <c r="I133" i="1"/>
  <c r="E133" i="1"/>
  <c r="F133" i="1" s="1"/>
  <c r="D133" i="1"/>
  <c r="J152" i="1" l="1"/>
  <c r="G152" i="1"/>
  <c r="F134" i="1"/>
  <c r="J149" i="1"/>
  <c r="G149" i="1"/>
  <c r="E146" i="1"/>
  <c r="F146" i="1"/>
  <c r="D146" i="1"/>
  <c r="I146" i="1"/>
  <c r="H146" i="1"/>
  <c r="F148" i="1"/>
  <c r="E148" i="1"/>
  <c r="D148" i="1"/>
  <c r="I148" i="1"/>
  <c r="H148" i="1"/>
  <c r="J155" i="1"/>
  <c r="G155" i="1"/>
  <c r="I142" i="1"/>
  <c r="E142" i="1"/>
  <c r="F142" i="1" s="1"/>
  <c r="D142" i="1"/>
  <c r="H133" i="1"/>
  <c r="L132" i="1"/>
  <c r="A160" i="1"/>
  <c r="A159" i="1"/>
  <c r="A157" i="1"/>
  <c r="A163" i="1"/>
  <c r="B46" i="1"/>
  <c r="A162" i="1"/>
  <c r="A164" i="1"/>
  <c r="A158" i="1"/>
  <c r="A161" i="1"/>
  <c r="A47" i="1"/>
  <c r="E46" i="1"/>
  <c r="E143" i="1"/>
  <c r="I143" i="1"/>
  <c r="H143" i="1"/>
  <c r="F143" i="1"/>
  <c r="D143" i="1"/>
  <c r="G153" i="1"/>
  <c r="J153" i="1"/>
  <c r="I147" i="1"/>
  <c r="D147" i="1"/>
  <c r="H147" i="1"/>
  <c r="E147" i="1"/>
  <c r="F147" i="1" s="1"/>
  <c r="H145" i="1"/>
  <c r="E145" i="1"/>
  <c r="F145" i="1" s="1"/>
  <c r="I145" i="1"/>
  <c r="D145" i="1"/>
  <c r="J156" i="1"/>
  <c r="G156" i="1"/>
  <c r="I144" i="1"/>
  <c r="E144" i="1"/>
  <c r="H144" i="1" s="1"/>
  <c r="D144" i="1"/>
  <c r="J154" i="1"/>
  <c r="G154" i="1"/>
  <c r="I141" i="1"/>
  <c r="D141" i="1"/>
  <c r="E141" i="1"/>
  <c r="F141" i="1" s="1"/>
  <c r="F135" i="1"/>
  <c r="J150" i="1"/>
  <c r="G150" i="1"/>
  <c r="C45" i="1"/>
  <c r="D45" i="1" s="1"/>
  <c r="H45" i="1"/>
  <c r="M131" i="1" s="1"/>
  <c r="J151" i="1"/>
  <c r="G151" i="1"/>
  <c r="J164" i="1" l="1"/>
  <c r="G164" i="1"/>
  <c r="I153" i="1"/>
  <c r="H153" i="1"/>
  <c r="E153" i="1"/>
  <c r="F153" i="1" s="1"/>
  <c r="D153" i="1"/>
  <c r="G162" i="1"/>
  <c r="J162" i="1"/>
  <c r="H142" i="1"/>
  <c r="C46" i="1"/>
  <c r="D46" i="1" s="1"/>
  <c r="H46" i="1"/>
  <c r="M132" i="1" s="1"/>
  <c r="I151" i="1"/>
  <c r="D151" i="1"/>
  <c r="E151" i="1"/>
  <c r="F151" i="1" s="1"/>
  <c r="G163" i="1"/>
  <c r="J163" i="1"/>
  <c r="I156" i="1"/>
  <c r="D156" i="1"/>
  <c r="H156" i="1"/>
  <c r="E156" i="1"/>
  <c r="F156" i="1" s="1"/>
  <c r="H141" i="1"/>
  <c r="E155" i="1"/>
  <c r="F155" i="1" s="1"/>
  <c r="D155" i="1"/>
  <c r="I155" i="1"/>
  <c r="H155" i="1"/>
  <c r="J159" i="1"/>
  <c r="G159" i="1"/>
  <c r="E149" i="1"/>
  <c r="F149" i="1" s="1"/>
  <c r="D149" i="1"/>
  <c r="I149" i="1"/>
  <c r="H149" i="1"/>
  <c r="J157" i="1"/>
  <c r="G157" i="1"/>
  <c r="H154" i="1"/>
  <c r="E154" i="1"/>
  <c r="F154" i="1" s="1"/>
  <c r="D154" i="1"/>
  <c r="I154" i="1"/>
  <c r="J160" i="1"/>
  <c r="G160" i="1"/>
  <c r="A169" i="1"/>
  <c r="A168" i="1"/>
  <c r="A166" i="1"/>
  <c r="L133" i="1"/>
  <c r="A48" i="1"/>
  <c r="A172" i="1"/>
  <c r="A165" i="1"/>
  <c r="B47" i="1"/>
  <c r="A171" i="1"/>
  <c r="E47" i="1"/>
  <c r="A170" i="1"/>
  <c r="A167" i="1"/>
  <c r="E152" i="1"/>
  <c r="H152" i="1" s="1"/>
  <c r="I152" i="1"/>
  <c r="D152" i="1"/>
  <c r="I150" i="1"/>
  <c r="D150" i="1"/>
  <c r="E150" i="1"/>
  <c r="H150" i="1" s="1"/>
  <c r="F144" i="1"/>
  <c r="J161" i="1"/>
  <c r="G161" i="1"/>
  <c r="J158" i="1"/>
  <c r="G158" i="1"/>
  <c r="F152" i="1" l="1"/>
  <c r="G172" i="1"/>
  <c r="J172" i="1"/>
  <c r="I162" i="1"/>
  <c r="H162" i="1"/>
  <c r="E162" i="1"/>
  <c r="F162" i="1" s="1"/>
  <c r="D162" i="1"/>
  <c r="I159" i="1"/>
  <c r="D159" i="1"/>
  <c r="E159" i="1"/>
  <c r="H159" i="1" s="1"/>
  <c r="F163" i="1"/>
  <c r="H163" i="1"/>
  <c r="E163" i="1"/>
  <c r="D163" i="1"/>
  <c r="I163" i="1"/>
  <c r="A178" i="1"/>
  <c r="A177" i="1"/>
  <c r="A175" i="1"/>
  <c r="F44" i="1" s="1"/>
  <c r="A179" i="1"/>
  <c r="A180" i="1"/>
  <c r="A173" i="1"/>
  <c r="A176" i="1"/>
  <c r="E48" i="1"/>
  <c r="L134" i="1"/>
  <c r="B48" i="1"/>
  <c r="A174" i="1"/>
  <c r="E161" i="1"/>
  <c r="F161" i="1" s="1"/>
  <c r="I161" i="1"/>
  <c r="D161" i="1"/>
  <c r="H161" i="1"/>
  <c r="J167" i="1"/>
  <c r="G167" i="1"/>
  <c r="J168" i="1"/>
  <c r="G168" i="1"/>
  <c r="J166" i="1"/>
  <c r="G166" i="1"/>
  <c r="J170" i="1"/>
  <c r="G170" i="1"/>
  <c r="J169" i="1"/>
  <c r="G169" i="1"/>
  <c r="H151" i="1"/>
  <c r="E158" i="1"/>
  <c r="F158" i="1" s="1"/>
  <c r="D158" i="1"/>
  <c r="I158" i="1"/>
  <c r="H158" i="1"/>
  <c r="E157" i="1"/>
  <c r="F157" i="1" s="1"/>
  <c r="D157" i="1"/>
  <c r="I157" i="1"/>
  <c r="H157" i="1"/>
  <c r="F150" i="1"/>
  <c r="G171" i="1"/>
  <c r="J171" i="1"/>
  <c r="I160" i="1"/>
  <c r="E160" i="1"/>
  <c r="F160" i="1" s="1"/>
  <c r="D160" i="1"/>
  <c r="G45" i="1"/>
  <c r="F45" i="1"/>
  <c r="E164" i="1"/>
  <c r="F164" i="1"/>
  <c r="D164" i="1"/>
  <c r="H164" i="1"/>
  <c r="I164" i="1"/>
  <c r="H47" i="1"/>
  <c r="M133" i="1" s="1"/>
  <c r="C47" i="1"/>
  <c r="D47" i="1" s="1"/>
  <c r="J165" i="1"/>
  <c r="G165" i="1"/>
  <c r="J177" i="1" l="1"/>
  <c r="G177" i="1"/>
  <c r="E170" i="1"/>
  <c r="I170" i="1"/>
  <c r="H170" i="1"/>
  <c r="F170" i="1"/>
  <c r="D170" i="1"/>
  <c r="J174" i="1"/>
  <c r="G174" i="1"/>
  <c r="J178" i="1"/>
  <c r="G178" i="1"/>
  <c r="C48" i="1"/>
  <c r="D48" i="1"/>
  <c r="H48" i="1"/>
  <c r="M134" i="1" s="1"/>
  <c r="I165" i="1"/>
  <c r="D165" i="1"/>
  <c r="H165" i="1"/>
  <c r="E165" i="1"/>
  <c r="F165" i="1" s="1"/>
  <c r="H160" i="1"/>
  <c r="G46" i="1" s="1"/>
  <c r="F166" i="1"/>
  <c r="E166" i="1"/>
  <c r="D166" i="1"/>
  <c r="H166" i="1"/>
  <c r="I166" i="1"/>
  <c r="I168" i="1"/>
  <c r="H168" i="1"/>
  <c r="D168" i="1"/>
  <c r="E168" i="1"/>
  <c r="F168" i="1" s="1"/>
  <c r="J176" i="1"/>
  <c r="G176" i="1"/>
  <c r="H172" i="1"/>
  <c r="E172" i="1"/>
  <c r="F172" i="1" s="1"/>
  <c r="I172" i="1"/>
  <c r="D172" i="1"/>
  <c r="F46" i="1"/>
  <c r="E167" i="1"/>
  <c r="D167" i="1"/>
  <c r="I167" i="1"/>
  <c r="F167" i="1"/>
  <c r="H167" i="1"/>
  <c r="J173" i="1"/>
  <c r="G173" i="1"/>
  <c r="G43" i="1"/>
  <c r="F43" i="1"/>
  <c r="I171" i="1"/>
  <c r="H171" i="1"/>
  <c r="F171" i="1"/>
  <c r="E171" i="1"/>
  <c r="D171" i="1"/>
  <c r="F159" i="1"/>
  <c r="I169" i="1"/>
  <c r="H169" i="1"/>
  <c r="E169" i="1"/>
  <c r="F169" i="1" s="1"/>
  <c r="D169" i="1"/>
  <c r="J175" i="1"/>
  <c r="G175" i="1"/>
  <c r="G44" i="1"/>
  <c r="G180" i="1"/>
  <c r="J180" i="1"/>
  <c r="F33" i="1"/>
  <c r="G33" i="1"/>
  <c r="F34" i="1"/>
  <c r="F35" i="1"/>
  <c r="G34" i="1"/>
  <c r="G35" i="1"/>
  <c r="F36" i="1"/>
  <c r="G36" i="1"/>
  <c r="G37" i="1"/>
  <c r="G38" i="1"/>
  <c r="F40" i="1"/>
  <c r="G39" i="1"/>
  <c r="F38" i="1"/>
  <c r="F37" i="1"/>
  <c r="F42" i="1"/>
  <c r="G40" i="1"/>
  <c r="F41" i="1"/>
  <c r="G42" i="1"/>
  <c r="F39" i="1"/>
  <c r="J179" i="1"/>
  <c r="G179" i="1"/>
  <c r="G41" i="1"/>
  <c r="F178" i="1" l="1"/>
  <c r="I178" i="1"/>
  <c r="H178" i="1"/>
  <c r="E178" i="1"/>
  <c r="D178" i="1"/>
  <c r="E173" i="1"/>
  <c r="F173" i="1"/>
  <c r="D173" i="1"/>
  <c r="I173" i="1"/>
  <c r="H173" i="1"/>
  <c r="I174" i="1"/>
  <c r="F174" i="1"/>
  <c r="D174" i="1"/>
  <c r="H174" i="1"/>
  <c r="E174" i="1"/>
  <c r="E176" i="1"/>
  <c r="D176" i="1"/>
  <c r="I176" i="1"/>
  <c r="H176" i="1"/>
  <c r="F176" i="1"/>
  <c r="F47" i="1"/>
  <c r="G47" i="1"/>
  <c r="E179" i="1"/>
  <c r="F179" i="1" s="1"/>
  <c r="I179" i="1"/>
  <c r="H179" i="1"/>
  <c r="D179" i="1"/>
  <c r="I180" i="1"/>
  <c r="H180" i="1"/>
  <c r="E180" i="1"/>
  <c r="F180" i="1" s="1"/>
  <c r="D180" i="1"/>
  <c r="E175" i="1"/>
  <c r="F175" i="1" s="1"/>
  <c r="D175" i="1"/>
  <c r="I175" i="1"/>
  <c r="H175" i="1"/>
  <c r="I177" i="1"/>
  <c r="H177" i="1"/>
  <c r="D177" i="1"/>
  <c r="E177" i="1"/>
  <c r="F177" i="1" s="1"/>
  <c r="F48" i="1" l="1"/>
  <c r="G48" i="1"/>
</calcChain>
</file>

<file path=xl/sharedStrings.xml><?xml version="1.0" encoding="utf-8"?>
<sst xmlns="http://schemas.openxmlformats.org/spreadsheetml/2006/main" count="1077" uniqueCount="96">
  <si>
    <t>SEGURIDAD · CONTROL DE FLOTA</t>
  </si>
  <si>
    <t>F&amp;M Maquinarias | Datos piloto históricos + entrada de telemetría para estado actual</t>
  </si>
  <si>
    <t>Flota</t>
  </si>
  <si>
    <t>Turno</t>
  </si>
  <si>
    <t>Desde</t>
  </si>
  <si>
    <t>Hasta</t>
  </si>
  <si>
    <t>Unidad</t>
  </si>
  <si>
    <t>Vigencia (min)</t>
  </si>
  <si>
    <t>Volquete</t>
  </si>
  <si>
    <t>Ambos</t>
  </si>
  <si>
    <t>Todas</t>
  </si>
  <si>
    <t>Edita los filtros amarillos. La lectura actual requiere actualizar Telemetría; «sin lectura» no equivale a stand by.</t>
  </si>
  <si>
    <t>Filtros con listas: Flota, Turno y Unidad. Desde/Hasta acotan los datos; Vigencia define cuándo caduca una lectura.</t>
  </si>
  <si>
    <t>Eventos de sobrevelocidad</t>
  </si>
  <si>
    <t>Alertas de cinturón</t>
  </si>
  <si>
    <t>Salidas de geocerca</t>
  </si>
  <si>
    <t>Volquetes con lectura vigente</t>
  </si>
  <si>
    <t>Volquetes en movimiento</t>
  </si>
  <si>
    <t>Volquetes stand by</t>
  </si>
  <si>
    <t>Volquetes sin lectura vigente</t>
  </si>
  <si>
    <t>Última lectura de la flota</t>
  </si>
  <si>
    <t>ESTADO ACTUAL · ÚLTIMA LECTURA VIGENTE POR UNIDAD</t>
  </si>
  <si>
    <t>Filtro</t>
  </si>
  <si>
    <t>Tipo</t>
  </si>
  <si>
    <t>Última lectura</t>
  </si>
  <si>
    <t>Vel. GPS km/h</t>
  </si>
  <si>
    <t>Motor</t>
  </si>
  <si>
    <t>Edad min</t>
  </si>
  <si>
    <t>Estado</t>
  </si>
  <si>
    <t>Muestras</t>
  </si>
  <si>
    <t>Origen</t>
  </si>
  <si>
    <t>VOL-01</t>
  </si>
  <si>
    <t>VOL-02</t>
  </si>
  <si>
    <t>VOL-03</t>
  </si>
  <si>
    <t>VOL-04</t>
  </si>
  <si>
    <t>CAM-01</t>
  </si>
  <si>
    <t>Camioneta</t>
  </si>
  <si>
    <t>CAM-02</t>
  </si>
  <si>
    <t>MIN-01</t>
  </si>
  <si>
    <t>Minibús</t>
  </si>
  <si>
    <t>COM-01</t>
  </si>
  <si>
    <t>Combi</t>
  </si>
  <si>
    <t>Criterio actual: movimiento ≥ 1 km/h; stand by = motor encendido y velocidad &lt; 1 km/h; lectura vencida = sin estado verificable.</t>
  </si>
  <si>
    <t>RESUMEN DIARIO · FLOTA FILTRADA</t>
  </si>
  <si>
    <t>Fecha</t>
  </si>
  <si>
    <t>km</t>
  </si>
  <si>
    <t>Movimiento h</t>
  </si>
  <si>
    <t>Media km/h</t>
  </si>
  <si>
    <t>Máxima GPS km/h</t>
  </si>
  <si>
    <t>Volquetes con movimiento</t>
  </si>
  <si>
    <t>Volquetes stand by*</t>
  </si>
  <si>
    <t>*Stand by diario: hubo horas de motor, pero 0 horas de movimiento en el período filtrado. No representa estado actual.</t>
  </si>
  <si>
    <t>DETALLE DIARIO POR UNIDAD · 16 FECHAS × 8 UNIDADES</t>
  </si>
  <si>
    <t>GRÁFICOS DINÁMICOS · FILTROS EN FILA 5</t>
  </si>
  <si>
    <t>Estado diario</t>
  </si>
  <si>
    <t>Motor h</t>
  </si>
  <si>
    <t>Registros</t>
  </si>
  <si>
    <t>Media km/h · período</t>
  </si>
  <si>
    <t>Nota: 0 en el gráfico de máxima GPS = sin dato; el detalle muestra «Pendiente GPS».</t>
  </si>
  <si>
    <t>Estado vigente</t>
  </si>
  <si>
    <t>Volquetes</t>
  </si>
  <si>
    <t>En movimiento</t>
  </si>
  <si>
    <t>Stand by</t>
  </si>
  <si>
    <t>Sin lectura vigente</t>
  </si>
  <si>
    <t>OPERACIONES · CONTROL DE FLOTA</t>
  </si>
  <si>
    <t>Filtros compartidos con Seguridad</t>
  </si>
  <si>
    <t>Distancia recorrida (km)</t>
  </si>
  <si>
    <t>Horas de motor</t>
  </si>
  <si>
    <t>Horas en movimiento</t>
  </si>
  <si>
    <t>Paradas registradas</t>
  </si>
  <si>
    <t>RESULTADO POR UNIDAD</t>
  </si>
  <si>
    <t>Paradas</t>
  </si>
  <si>
    <t>DATOS PILOTO · una fila por unidad, fecha y turno. Sustituir por exportación real para uso operativo.</t>
  </si>
  <si>
    <t>Distancia km</t>
  </si>
  <si>
    <t>Eventos sobrevelocidad</t>
  </si>
  <si>
    <t>Alertas cinturón</t>
  </si>
  <si>
    <t>Salidas geocerca</t>
  </si>
  <si>
    <t>Desconexiones</t>
  </si>
  <si>
    <t>Incluido por filtros</t>
  </si>
  <si>
    <t>Definiciones</t>
  </si>
  <si>
    <t>Velocidad máxima GPS (km/h)</t>
  </si>
  <si>
    <t>Día</t>
  </si>
  <si>
    <t>Velocidad media diaria</t>
  </si>
  <si>
    <t>Suma de km ÷ suma de horas de movimiento de los turnos filtrados.</t>
  </si>
  <si>
    <t>Noche</t>
  </si>
  <si>
    <t>Velocidad máxima</t>
  </si>
  <si>
    <t>Máxima lectura GPS informada en Q por unidad y turno. Vacío = pendiente.</t>
  </si>
  <si>
    <t>Estado en vivo</t>
  </si>
  <si>
    <t>Requiere muestras externas con hora, motor y velocidad en Telemetría.</t>
  </si>
  <si>
    <t>ENTRADA DE TELEMETRÍA · pegar muestras reales, una fila por unidad y hora. Se actualiza al refrescar/importar la fuente.</t>
  </si>
  <si>
    <t>Hora local del equipo (fecha y hora) | velocidad GPS en km/h | motor: 1 encendido, 0 apagado | turno: Día/Noche</t>
  </si>
  <si>
    <t>Fecha y hora</t>
  </si>
  <si>
    <t>Velocidad GPS km/h</t>
  </si>
  <si>
    <t>Motor (1/0)</t>
  </si>
  <si>
    <t>Fuente / observación</t>
  </si>
  <si>
    <t>«En tiempo real» depende de conexión y frecuencia de importación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</si>
</sst>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/yyyy\ hh:mm"/>
    <numFmt numFmtId="166" formatCode="0.0"/>
  </numFmts>
  <fonts count="3">
    <font>
      <sz val="11"/>
      <name val="Carlito"/>
    </font>
    <font>
      <sz val="11"/>
      <color rgb="FFFFFFFF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83753"/>
      </patternFill>
    </fill>
    <fill>
      <patternFill patternType="solid">
        <fgColor rgb="FF22648A"/>
      </patternFill>
    </fill>
    <fill>
      <patternFill patternType="solid">
        <fgColor rgb="FFFFF0BD"/>
      </patternFill>
    </fill>
    <fill>
      <patternFill patternType="solid">
        <fgColor rgb="FF2264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1" fillId="3" borderId="0" xfId="0" applyFont="1" applyFill="1"/>
    <xf numFmtId="0" fontId="0" fillId="4" borderId="0" xfId="0" applyFill="1"/>
    <xf numFmtId="164" fontId="0" fillId="4" borderId="0" xfId="0" applyNumberFormat="1" applyFill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5" fontId="0" fillId="4" borderId="0" xfId="0" applyNumberForma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PE"/>
              <a:t>Volquetes por estado diario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Volquetes con movimiento</c:v>
          </c:tx>
          <c:marker>
            <c:symbol val="none"/>
          </c:marker>
          <c:cat>
            <c:numRef>
              <c:f>Seguridad!$A$33:$A$48</c:f>
              <c:numCache>
                <c:formatCode>dd/mm/yyyy</c:formatCode>
                <c:ptCount val="16"/>
                <c:pt idx="0">
                  <c:v>46276</c:v>
                </c:pt>
                <c:pt idx="1">
                  <c:v>46277</c:v>
                </c:pt>
                <c:pt idx="2">
                  <c:v>46278</c:v>
                </c:pt>
                <c:pt idx="3">
                  <c:v>46279</c:v>
                </c:pt>
                <c:pt idx="4">
                  <c:v>46280</c:v>
                </c:pt>
                <c:pt idx="5">
                  <c:v>46281</c:v>
                </c:pt>
                <c:pt idx="6">
                  <c:v>46282</c:v>
                </c:pt>
                <c:pt idx="7">
                  <c:v>46283</c:v>
                </c:pt>
                <c:pt idx="8">
                  <c:v>46284</c:v>
                </c:pt>
                <c:pt idx="9">
                  <c:v>46285</c:v>
                </c:pt>
                <c:pt idx="10">
                  <c:v>46286</c:v>
                </c:pt>
                <c:pt idx="11">
                  <c:v>46287</c:v>
                </c:pt>
                <c:pt idx="12">
                  <c:v>46288</c:v>
                </c:pt>
                <c:pt idx="13">
                  <c:v>46289</c:v>
                </c:pt>
                <c:pt idx="14">
                  <c:v>46290</c:v>
                </c:pt>
                <c:pt idx="15">
                  <c:v>46291</c:v>
                </c:pt>
              </c:numCache>
            </c:numRef>
          </c:cat>
          <c:val>
            <c:numRef>
              <c:f>Seguridad!$F$33:$F$48</c:f>
              <c:numCache>
                <c:formatCode>General</c:formatCode>
                <c:ptCount val="1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1D-4253-A0C8-D07FD6359588}"/>
            </c:ext>
          </c:extLst>
        </c:ser>
        <c:ser>
          <c:idx val="1"/>
          <c:order val="1"/>
          <c:tx>
            <c:v>Volquetes stand by*</c:v>
          </c:tx>
          <c:marker>
            <c:symbol val="none"/>
          </c:marker>
          <c:cat>
            <c:numRef>
              <c:f>Seguridad!$A$33:$A$48</c:f>
              <c:numCache>
                <c:formatCode>dd/mm/yyyy</c:formatCode>
                <c:ptCount val="16"/>
                <c:pt idx="0">
                  <c:v>46276</c:v>
                </c:pt>
                <c:pt idx="1">
                  <c:v>46277</c:v>
                </c:pt>
                <c:pt idx="2">
                  <c:v>46278</c:v>
                </c:pt>
                <c:pt idx="3">
                  <c:v>46279</c:v>
                </c:pt>
                <c:pt idx="4">
                  <c:v>46280</c:v>
                </c:pt>
                <c:pt idx="5">
                  <c:v>46281</c:v>
                </c:pt>
                <c:pt idx="6">
                  <c:v>46282</c:v>
                </c:pt>
                <c:pt idx="7">
                  <c:v>46283</c:v>
                </c:pt>
                <c:pt idx="8">
                  <c:v>46284</c:v>
                </c:pt>
                <c:pt idx="9">
                  <c:v>46285</c:v>
                </c:pt>
                <c:pt idx="10">
                  <c:v>46286</c:v>
                </c:pt>
                <c:pt idx="11">
                  <c:v>46287</c:v>
                </c:pt>
                <c:pt idx="12">
                  <c:v>46288</c:v>
                </c:pt>
                <c:pt idx="13">
                  <c:v>46289</c:v>
                </c:pt>
                <c:pt idx="14">
                  <c:v>46290</c:v>
                </c:pt>
                <c:pt idx="15">
                  <c:v>46291</c:v>
                </c:pt>
              </c:numCache>
            </c:numRef>
          </c:cat>
          <c:val>
            <c:numRef>
              <c:f>Seguridad!$G$33:$G$48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1D-4253-A0C8-D07FD6359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dd/mm/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PE"/>
              <a:t>Velocidad media por unidad · período filtrado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Media km/h · período</c:v>
          </c:tx>
          <c:invertIfNegative val="1"/>
          <c:cat>
            <c:strRef>
              <c:f>Seguridad!$L$106:$L$113</c:f>
              <c:strCache>
                <c:ptCount val="8"/>
                <c:pt idx="0">
                  <c:v>VOL-01</c:v>
                </c:pt>
                <c:pt idx="1">
                  <c:v>VOL-02</c:v>
                </c:pt>
                <c:pt idx="2">
                  <c:v>VOL-03</c:v>
                </c:pt>
                <c:pt idx="3">
                  <c:v>VOL-04</c:v>
                </c:pt>
                <c:pt idx="4">
                  <c:v>CAM-01</c:v>
                </c:pt>
                <c:pt idx="5">
                  <c:v>CAM-02</c:v>
                </c:pt>
                <c:pt idx="6">
                  <c:v>MIN-01</c:v>
                </c:pt>
                <c:pt idx="7">
                  <c:v>COM-01</c:v>
                </c:pt>
              </c:strCache>
            </c:strRef>
          </c:cat>
          <c:val>
            <c:numRef>
              <c:f>Seguridad!$M$106:$M$113</c:f>
              <c:numCache>
                <c:formatCode>0.0</c:formatCode>
                <c:ptCount val="8"/>
                <c:pt idx="0">
                  <c:v>14.990371323323767</c:v>
                </c:pt>
                <c:pt idx="1">
                  <c:v>14.983147034944274</c:v>
                </c:pt>
                <c:pt idx="2">
                  <c:v>14.971258386306506</c:v>
                </c:pt>
                <c:pt idx="3">
                  <c:v>14.975160250061405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2-40C1-B717-3E2B148D2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PE"/>
              <a:t>Eventos de sobrevelocidad por día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Eventos de sobrevelocidad</c:v>
          </c:tx>
          <c:marker>
            <c:symbol val="none"/>
          </c:marker>
          <c:cat>
            <c:numRef>
              <c:f>Seguridad!$L$119:$L$134</c:f>
              <c:numCache>
                <c:formatCode>dd/mm/yyyy</c:formatCode>
                <c:ptCount val="16"/>
                <c:pt idx="0">
                  <c:v>46276</c:v>
                </c:pt>
                <c:pt idx="1">
                  <c:v>46277</c:v>
                </c:pt>
                <c:pt idx="2">
                  <c:v>46278</c:v>
                </c:pt>
                <c:pt idx="3">
                  <c:v>46279</c:v>
                </c:pt>
                <c:pt idx="4">
                  <c:v>46280</c:v>
                </c:pt>
                <c:pt idx="5">
                  <c:v>46281</c:v>
                </c:pt>
                <c:pt idx="6">
                  <c:v>46282</c:v>
                </c:pt>
                <c:pt idx="7">
                  <c:v>46283</c:v>
                </c:pt>
                <c:pt idx="8">
                  <c:v>46284</c:v>
                </c:pt>
                <c:pt idx="9">
                  <c:v>46285</c:v>
                </c:pt>
                <c:pt idx="10">
                  <c:v>46286</c:v>
                </c:pt>
                <c:pt idx="11">
                  <c:v>46287</c:v>
                </c:pt>
                <c:pt idx="12">
                  <c:v>46288</c:v>
                </c:pt>
                <c:pt idx="13">
                  <c:v>46289</c:v>
                </c:pt>
                <c:pt idx="14">
                  <c:v>46290</c:v>
                </c:pt>
                <c:pt idx="15">
                  <c:v>46291</c:v>
                </c:pt>
              </c:numCache>
            </c:numRef>
          </c:cat>
          <c:val>
            <c:numRef>
              <c:f>Seguridad!$M$119:$M$134</c:f>
              <c:numCache>
                <c:formatCode>General</c:formatCode>
                <c:ptCount val="16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4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3-4538-AB11-D386E6D5B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dd/mm/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PE"/>
              <a:t>Estado de volquetes · lectura vigente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Volquetes</c:v>
          </c:tx>
          <c:invertIfNegative val="1"/>
          <c:cat>
            <c:strRef>
              <c:f>Seguridad!$L$138:$L$140</c:f>
              <c:strCache>
                <c:ptCount val="3"/>
                <c:pt idx="0">
                  <c:v>En movimiento</c:v>
                </c:pt>
                <c:pt idx="1">
                  <c:v>Stand by</c:v>
                </c:pt>
                <c:pt idx="2">
                  <c:v>Sin lectura vigente</c:v>
                </c:pt>
              </c:strCache>
            </c:strRef>
          </c:cat>
          <c:val>
            <c:numRef>
              <c:f>Seguridad!$M$138:$M$140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D-4F5D-9BF2-338A8B6EA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30</xdr:row>
      <xdr:rowOff>0</xdr:rowOff>
    </xdr:from>
    <xdr:to>
      <xdr:col>21</xdr:col>
      <xdr:colOff>0</xdr:colOff>
      <xdr:row>48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53</xdr:row>
      <xdr:rowOff>0</xdr:rowOff>
    </xdr:from>
    <xdr:to>
      <xdr:col>21</xdr:col>
      <xdr:colOff>0</xdr:colOff>
      <xdr:row>71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72</xdr:row>
      <xdr:rowOff>0</xdr:rowOff>
    </xdr:from>
    <xdr:to>
      <xdr:col>21</xdr:col>
      <xdr:colOff>0</xdr:colOff>
      <xdr:row>90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91</xdr:row>
      <xdr:rowOff>0</xdr:rowOff>
    </xdr:from>
    <xdr:to>
      <xdr:col>21</xdr:col>
      <xdr:colOff>0</xdr:colOff>
      <xdr:row>103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80"/>
  <sheetViews>
    <sheetView zoomScale="55" zoomScaleNormal="55" workbookViewId="0">
      <selection activeCell="F182" sqref="F182"/>
    </sheetView>
  </sheetViews>
  <sheetFormatPr baseColWidth="10" defaultColWidth="8.75" defaultRowHeight="14.25"/>
  <cols>
    <col min="1" max="1" width="105" customWidth="1"/>
    <col min="2" max="2" width="102" customWidth="1"/>
    <col min="3" max="3" width="99" customWidth="1"/>
    <col min="4" max="4" width="112" customWidth="1"/>
    <col min="5" max="5" width="117" customWidth="1"/>
    <col min="6" max="6" width="112" customWidth="1"/>
    <col min="7" max="7" width="128" customWidth="1"/>
    <col min="8" max="8" width="155" customWidth="1"/>
    <col min="9" max="9" width="104" customWidth="1"/>
    <col min="10" max="10" width="132" customWidth="1"/>
    <col min="12" max="14" width="150" customWidth="1"/>
    <col min="15" max="15" width="118" customWidth="1"/>
  </cols>
  <sheetData>
    <row r="2" spans="1:15" ht="1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t="s">
        <v>1</v>
      </c>
    </row>
    <row r="4" spans="1:15">
      <c r="A4" t="s">
        <v>2</v>
      </c>
      <c r="D4" t="s">
        <v>3</v>
      </c>
      <c r="G4" t="s">
        <v>4</v>
      </c>
      <c r="I4" t="s">
        <v>5</v>
      </c>
      <c r="L4" t="s">
        <v>6</v>
      </c>
      <c r="N4" t="s">
        <v>7</v>
      </c>
    </row>
    <row r="5" spans="1:15">
      <c r="B5" s="3" t="s">
        <v>8</v>
      </c>
      <c r="E5" s="3" t="s">
        <v>9</v>
      </c>
      <c r="H5" s="4">
        <v>46276</v>
      </c>
      <c r="J5" s="4">
        <v>46291</v>
      </c>
      <c r="M5" s="3" t="s">
        <v>10</v>
      </c>
      <c r="O5" s="3">
        <v>10</v>
      </c>
    </row>
    <row r="6" spans="1:15">
      <c r="A6" t="s">
        <v>11</v>
      </c>
    </row>
    <row r="7" spans="1:15">
      <c r="A7" t="s">
        <v>12</v>
      </c>
    </row>
    <row r="8" spans="1:15">
      <c r="A8" t="s">
        <v>13</v>
      </c>
      <c r="D8" t="s">
        <v>14</v>
      </c>
      <c r="G8" t="s">
        <v>15</v>
      </c>
      <c r="J8" t="s">
        <v>16</v>
      </c>
    </row>
    <row r="9" spans="1:15">
      <c r="A9">
        <f>SUMIFS(Datos!$H$5:$H$228,Datos!$M$5:$M$228,1)</f>
        <v>76</v>
      </c>
      <c r="D9">
        <f>SUMIFS(Datos!$I$5:$I$228,Datos!$M$5:$M$228,1)</f>
        <v>8</v>
      </c>
      <c r="G9">
        <f>SUMIFS(Datos!$J$5:$J$228,Datos!$M$5:$M$228,1)</f>
        <v>6</v>
      </c>
      <c r="J9">
        <f ca="1">COUNTIFS($C$18:$C$25,"Volquete",$H$18:$H$25,"En movimiento")+COUNTIFS($C$18:$C$25,"Volquete",$H$18:$H$25,"Stand by")</f>
        <v>0</v>
      </c>
    </row>
    <row r="11" spans="1:15">
      <c r="A11" t="s">
        <v>17</v>
      </c>
      <c r="D11" t="s">
        <v>18</v>
      </c>
      <c r="G11" t="s">
        <v>19</v>
      </c>
      <c r="J11" t="s">
        <v>20</v>
      </c>
    </row>
    <row r="12" spans="1:15">
      <c r="A12">
        <f ca="1">COUNTIFS($C$18:$C$25,"Volquete",$H$18:$H$25,"En movimiento")</f>
        <v>0</v>
      </c>
      <c r="D12">
        <f ca="1">COUNTIFS($C$18:$C$25,"Volquete",$H$18:$H$25,"Stand by")</f>
        <v>0</v>
      </c>
      <c r="G12">
        <f ca="1">COUNTIFS($C$18:$C$25,"Volquete",$H$18:$H$25,"Sin lectura vigente")</f>
        <v>4</v>
      </c>
      <c r="J12" s="6" t="str">
        <f>IF(COUNT($D$18:$D$25)=0,"Sin telemetría",MAX($D$18:$D$25))</f>
        <v>Sin telemetría</v>
      </c>
    </row>
    <row r="15" spans="1:15">
      <c r="A15" t="s">
        <v>21</v>
      </c>
    </row>
    <row r="17" spans="1:10">
      <c r="A17" s="2" t="s">
        <v>6</v>
      </c>
      <c r="B17" s="2" t="s">
        <v>22</v>
      </c>
      <c r="C17" s="2" t="s">
        <v>23</v>
      </c>
      <c r="D17" s="2" t="s">
        <v>24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</row>
    <row r="18" spans="1:10">
      <c r="A18" t="s">
        <v>31</v>
      </c>
      <c r="B18" t="str">
        <f t="shared" ref="B18:B25" si="0">IF(AND(OR($B$5="Todas",$B$5=C18),OR($M$5="Todas",$M$5=A18)),"Incluido","Fuera del filtro")</f>
        <v>Incluido</v>
      </c>
      <c r="C18" t="s">
        <v>8</v>
      </c>
      <c r="D18" s="6" t="str">
        <f>IF(B18="Fuera del filtro","",IF(COUNTIFS(Telemetría!$B$5:$B$504,A18,Telemetría!$A$5:$A$504,"&gt;="&amp;$H$5,Telemetría!$A$5:$A$504,"&lt;"&amp;($J$5+1),Telemetría!$D$5:$D$504,IF($E$5="Ambos","*",$E$5))=0,"",_xlfn.MAXIFS(Telemetría!$A$5:$A$504,Telemetría!$B$5:$B$504,A18,Telemetría!$A$5:$A$504,"&gt;="&amp;$H$5,Telemetría!$A$5:$A$504,"&lt;"&amp;($J$5+1),Telemetría!$D$5:$D$504,IF($E$5="Ambos","*",$E$5))))</f>
        <v/>
      </c>
      <c r="E18" t="str">
        <f>IF(I18=0,"",SUMIFS(Telemetría!$E$5:$E$504,Telemetría!$B$5:$B$504,A18,Telemetría!$A$5:$A$504,D18))</f>
        <v/>
      </c>
      <c r="F18" t="str">
        <f>IF(I18=0,"",SUMIFS(Telemetría!$F$5:$F$504,Telemetría!$B$5:$B$504,A18,Telemetría!$A$5:$A$504,D18))</f>
        <v/>
      </c>
      <c r="G18" s="7" t="str">
        <f t="shared" ref="G18:G25" ca="1" si="1">IF(D18="","",MAX(0,(NOW()-D18)*1440))</f>
        <v/>
      </c>
      <c r="H18" t="str">
        <f t="shared" ref="H18:H25" ca="1" si="2">IF(B18="Fuera del filtro","Fuera del filtro",IF(OR(D18="",G18&gt;$O$5,I18&lt;&gt;1),"Sin lectura vigente",IF(E18&gt;=1,"En movimiento",IF(F18=1,"Stand by","Detenido / motor apagado"))))</f>
        <v>Sin lectura vigente</v>
      </c>
      <c r="I18">
        <f>IF(D18="",0,COUNTIFS(Telemetría!$B$5:$B$504,A18,Telemetría!$A$5:$A$504,D18))</f>
        <v>0</v>
      </c>
      <c r="J18" t="str">
        <f t="shared" ref="J18:J25" si="3">IF(I18=0,"", "Telemetría")</f>
        <v/>
      </c>
    </row>
    <row r="19" spans="1:10">
      <c r="A19" t="s">
        <v>32</v>
      </c>
      <c r="B19" t="str">
        <f t="shared" si="0"/>
        <v>Incluido</v>
      </c>
      <c r="C19" t="s">
        <v>8</v>
      </c>
      <c r="D19" s="6" t="str">
        <f>IF(B19="Fuera del filtro","",IF(COUNTIFS(Telemetría!$B$5:$B$504,A19,Telemetría!$A$5:$A$504,"&gt;="&amp;$H$5,Telemetría!$A$5:$A$504,"&lt;"&amp;($J$5+1),Telemetría!$D$5:$D$504,IF($E$5="Ambos","*",$E$5))=0,"",_xlfn.MAXIFS(Telemetría!$A$5:$A$504,Telemetría!$B$5:$B$504,A19,Telemetría!$A$5:$A$504,"&gt;="&amp;$H$5,Telemetría!$A$5:$A$504,"&lt;"&amp;($J$5+1),Telemetría!$D$5:$D$504,IF($E$5="Ambos","*",$E$5))))</f>
        <v/>
      </c>
      <c r="E19" t="str">
        <f>IF(I19=0,"",SUMIFS(Telemetría!$E$5:$E$504,Telemetría!$B$5:$B$504,A19,Telemetría!$A$5:$A$504,D19))</f>
        <v/>
      </c>
      <c r="F19" t="str">
        <f>IF(I19=0,"",SUMIFS(Telemetría!$F$5:$F$504,Telemetría!$B$5:$B$504,A19,Telemetría!$A$5:$A$504,D19))</f>
        <v/>
      </c>
      <c r="G19" s="7" t="str">
        <f t="shared" ca="1" si="1"/>
        <v/>
      </c>
      <c r="H19" t="str">
        <f t="shared" ca="1" si="2"/>
        <v>Sin lectura vigente</v>
      </c>
      <c r="I19">
        <f>IF(D19="",0,COUNTIFS(Telemetría!$B$5:$B$504,A19,Telemetría!$A$5:$A$504,D19))</f>
        <v>0</v>
      </c>
      <c r="J19" t="str">
        <f t="shared" si="3"/>
        <v/>
      </c>
    </row>
    <row r="20" spans="1:10">
      <c r="A20" t="s">
        <v>33</v>
      </c>
      <c r="B20" t="str">
        <f t="shared" si="0"/>
        <v>Incluido</v>
      </c>
      <c r="C20" t="s">
        <v>8</v>
      </c>
      <c r="D20" s="6" t="str">
        <f>IF(B20="Fuera del filtro","",IF(COUNTIFS(Telemetría!$B$5:$B$504,A20,Telemetría!$A$5:$A$504,"&gt;="&amp;$H$5,Telemetría!$A$5:$A$504,"&lt;"&amp;($J$5+1),Telemetría!$D$5:$D$504,IF($E$5="Ambos","*",$E$5))=0,"",_xlfn.MAXIFS(Telemetría!$A$5:$A$504,Telemetría!$B$5:$B$504,A20,Telemetría!$A$5:$A$504,"&gt;="&amp;$H$5,Telemetría!$A$5:$A$504,"&lt;"&amp;($J$5+1),Telemetría!$D$5:$D$504,IF($E$5="Ambos","*",$E$5))))</f>
        <v/>
      </c>
      <c r="E20" t="str">
        <f>IF(I20=0,"",SUMIFS(Telemetría!$E$5:$E$504,Telemetría!$B$5:$B$504,A20,Telemetría!$A$5:$A$504,D20))</f>
        <v/>
      </c>
      <c r="F20" t="str">
        <f>IF(I20=0,"",SUMIFS(Telemetría!$F$5:$F$504,Telemetría!$B$5:$B$504,A20,Telemetría!$A$5:$A$504,D20))</f>
        <v/>
      </c>
      <c r="G20" s="7" t="str">
        <f t="shared" ca="1" si="1"/>
        <v/>
      </c>
      <c r="H20" t="str">
        <f t="shared" ca="1" si="2"/>
        <v>Sin lectura vigente</v>
      </c>
      <c r="I20">
        <f>IF(D20="",0,COUNTIFS(Telemetría!$B$5:$B$504,A20,Telemetría!$A$5:$A$504,D20))</f>
        <v>0</v>
      </c>
      <c r="J20" t="str">
        <f t="shared" si="3"/>
        <v/>
      </c>
    </row>
    <row r="21" spans="1:10">
      <c r="A21" t="s">
        <v>34</v>
      </c>
      <c r="B21" t="str">
        <f t="shared" si="0"/>
        <v>Incluido</v>
      </c>
      <c r="C21" t="s">
        <v>8</v>
      </c>
      <c r="D21" s="6" t="str">
        <f>IF(B21="Fuera del filtro","",IF(COUNTIFS(Telemetría!$B$5:$B$504,A21,Telemetría!$A$5:$A$504,"&gt;="&amp;$H$5,Telemetría!$A$5:$A$504,"&lt;"&amp;($J$5+1),Telemetría!$D$5:$D$504,IF($E$5="Ambos","*",$E$5))=0,"",_xlfn.MAXIFS(Telemetría!$A$5:$A$504,Telemetría!$B$5:$B$504,A21,Telemetría!$A$5:$A$504,"&gt;="&amp;$H$5,Telemetría!$A$5:$A$504,"&lt;"&amp;($J$5+1),Telemetría!$D$5:$D$504,IF($E$5="Ambos","*",$E$5))))</f>
        <v/>
      </c>
      <c r="E21" t="str">
        <f>IF(I21=0,"",SUMIFS(Telemetría!$E$5:$E$504,Telemetría!$B$5:$B$504,A21,Telemetría!$A$5:$A$504,D21))</f>
        <v/>
      </c>
      <c r="F21" t="str">
        <f>IF(I21=0,"",SUMIFS(Telemetría!$F$5:$F$504,Telemetría!$B$5:$B$504,A21,Telemetría!$A$5:$A$504,D21))</f>
        <v/>
      </c>
      <c r="G21" s="7" t="str">
        <f t="shared" ca="1" si="1"/>
        <v/>
      </c>
      <c r="H21" t="str">
        <f t="shared" ca="1" si="2"/>
        <v>Sin lectura vigente</v>
      </c>
      <c r="I21">
        <f>IF(D21="",0,COUNTIFS(Telemetría!$B$5:$B$504,A21,Telemetría!$A$5:$A$504,D21))</f>
        <v>0</v>
      </c>
      <c r="J21" t="str">
        <f t="shared" si="3"/>
        <v/>
      </c>
    </row>
    <row r="22" spans="1:10">
      <c r="A22" t="s">
        <v>35</v>
      </c>
      <c r="B22" t="str">
        <f t="shared" si="0"/>
        <v>Fuera del filtro</v>
      </c>
      <c r="C22" t="s">
        <v>36</v>
      </c>
      <c r="D22" s="6" t="str">
        <f>IF(B22="Fuera del filtro","",IF(COUNTIFS(Telemetría!$B$5:$B$504,A22,Telemetría!$A$5:$A$504,"&gt;="&amp;$H$5,Telemetría!$A$5:$A$504,"&lt;"&amp;($J$5+1),Telemetría!$D$5:$D$504,IF($E$5="Ambos","*",$E$5))=0,"",_xlfn.MAXIFS(Telemetría!$A$5:$A$504,Telemetría!$B$5:$B$504,A22,Telemetría!$A$5:$A$504,"&gt;="&amp;$H$5,Telemetría!$A$5:$A$504,"&lt;"&amp;($J$5+1),Telemetría!$D$5:$D$504,IF($E$5="Ambos","*",$E$5))))</f>
        <v/>
      </c>
      <c r="E22" t="str">
        <f>IF(I22=0,"",SUMIFS(Telemetría!$E$5:$E$504,Telemetría!$B$5:$B$504,A22,Telemetría!$A$5:$A$504,D22))</f>
        <v/>
      </c>
      <c r="F22" t="str">
        <f>IF(I22=0,"",SUMIFS(Telemetría!$F$5:$F$504,Telemetría!$B$5:$B$504,A22,Telemetría!$A$5:$A$504,D22))</f>
        <v/>
      </c>
      <c r="G22" s="7" t="str">
        <f t="shared" ca="1" si="1"/>
        <v/>
      </c>
      <c r="H22" t="str">
        <f t="shared" si="2"/>
        <v>Fuera del filtro</v>
      </c>
      <c r="I22">
        <f>IF(D22="",0,COUNTIFS(Telemetría!$B$5:$B$504,A22,Telemetría!$A$5:$A$504,D22))</f>
        <v>0</v>
      </c>
      <c r="J22" t="str">
        <f t="shared" si="3"/>
        <v/>
      </c>
    </row>
    <row r="23" spans="1:10">
      <c r="A23" t="s">
        <v>37</v>
      </c>
      <c r="B23" t="str">
        <f t="shared" si="0"/>
        <v>Fuera del filtro</v>
      </c>
      <c r="C23" t="s">
        <v>36</v>
      </c>
      <c r="D23" s="6" t="str">
        <f>IF(B23="Fuera del filtro","",IF(COUNTIFS(Telemetría!$B$5:$B$504,A23,Telemetría!$A$5:$A$504,"&gt;="&amp;$H$5,Telemetría!$A$5:$A$504,"&lt;"&amp;($J$5+1),Telemetría!$D$5:$D$504,IF($E$5="Ambos","*",$E$5))=0,"",_xlfn.MAXIFS(Telemetría!$A$5:$A$504,Telemetría!$B$5:$B$504,A23,Telemetría!$A$5:$A$504,"&gt;="&amp;$H$5,Telemetría!$A$5:$A$504,"&lt;"&amp;($J$5+1),Telemetría!$D$5:$D$504,IF($E$5="Ambos","*",$E$5))))</f>
        <v/>
      </c>
      <c r="E23" t="str">
        <f>IF(I23=0,"",SUMIFS(Telemetría!$E$5:$E$504,Telemetría!$B$5:$B$504,A23,Telemetría!$A$5:$A$504,D23))</f>
        <v/>
      </c>
      <c r="F23" t="str">
        <f>IF(I23=0,"",SUMIFS(Telemetría!$F$5:$F$504,Telemetría!$B$5:$B$504,A23,Telemetría!$A$5:$A$504,D23))</f>
        <v/>
      </c>
      <c r="G23" s="7" t="str">
        <f t="shared" ca="1" si="1"/>
        <v/>
      </c>
      <c r="H23" t="str">
        <f t="shared" si="2"/>
        <v>Fuera del filtro</v>
      </c>
      <c r="I23">
        <f>IF(D23="",0,COUNTIFS(Telemetría!$B$5:$B$504,A23,Telemetría!$A$5:$A$504,D23))</f>
        <v>0</v>
      </c>
      <c r="J23" t="str">
        <f t="shared" si="3"/>
        <v/>
      </c>
    </row>
    <row r="24" spans="1:10">
      <c r="A24" t="s">
        <v>38</v>
      </c>
      <c r="B24" t="str">
        <f t="shared" si="0"/>
        <v>Fuera del filtro</v>
      </c>
      <c r="C24" t="s">
        <v>39</v>
      </c>
      <c r="D24" s="6" t="str">
        <f>IF(B24="Fuera del filtro","",IF(COUNTIFS(Telemetría!$B$5:$B$504,A24,Telemetría!$A$5:$A$504,"&gt;="&amp;$H$5,Telemetría!$A$5:$A$504,"&lt;"&amp;($J$5+1),Telemetría!$D$5:$D$504,IF($E$5="Ambos","*",$E$5))=0,"",_xlfn.MAXIFS(Telemetría!$A$5:$A$504,Telemetría!$B$5:$B$504,A24,Telemetría!$A$5:$A$504,"&gt;="&amp;$H$5,Telemetría!$A$5:$A$504,"&lt;"&amp;($J$5+1),Telemetría!$D$5:$D$504,IF($E$5="Ambos","*",$E$5))))</f>
        <v/>
      </c>
      <c r="E24" t="str">
        <f>IF(I24=0,"",SUMIFS(Telemetría!$E$5:$E$504,Telemetría!$B$5:$B$504,A24,Telemetría!$A$5:$A$504,D24))</f>
        <v/>
      </c>
      <c r="F24" t="str">
        <f>IF(I24=0,"",SUMIFS(Telemetría!$F$5:$F$504,Telemetría!$B$5:$B$504,A24,Telemetría!$A$5:$A$504,D24))</f>
        <v/>
      </c>
      <c r="G24" s="7" t="str">
        <f t="shared" ca="1" si="1"/>
        <v/>
      </c>
      <c r="H24" t="str">
        <f t="shared" si="2"/>
        <v>Fuera del filtro</v>
      </c>
      <c r="I24">
        <f>IF(D24="",0,COUNTIFS(Telemetría!$B$5:$B$504,A24,Telemetría!$A$5:$A$504,D24))</f>
        <v>0</v>
      </c>
      <c r="J24" t="str">
        <f t="shared" si="3"/>
        <v/>
      </c>
    </row>
    <row r="25" spans="1:10">
      <c r="A25" t="s">
        <v>40</v>
      </c>
      <c r="B25" t="str">
        <f t="shared" si="0"/>
        <v>Fuera del filtro</v>
      </c>
      <c r="C25" t="s">
        <v>41</v>
      </c>
      <c r="D25" s="6" t="str">
        <f>IF(B25="Fuera del filtro","",IF(COUNTIFS(Telemetría!$B$5:$B$504,A25,Telemetría!$A$5:$A$504,"&gt;="&amp;$H$5,Telemetría!$A$5:$A$504,"&lt;"&amp;($J$5+1),Telemetría!$D$5:$D$504,IF($E$5="Ambos","*",$E$5))=0,"",_xlfn.MAXIFS(Telemetría!$A$5:$A$504,Telemetría!$B$5:$B$504,A25,Telemetría!$A$5:$A$504,"&gt;="&amp;$H$5,Telemetría!$A$5:$A$504,"&lt;"&amp;($J$5+1),Telemetría!$D$5:$D$504,IF($E$5="Ambos","*",$E$5))))</f>
        <v/>
      </c>
      <c r="E25" t="str">
        <f>IF(I25=0,"",SUMIFS(Telemetría!$E$5:$E$504,Telemetría!$B$5:$B$504,A25,Telemetría!$A$5:$A$504,D25))</f>
        <v/>
      </c>
      <c r="F25" t="str">
        <f>IF(I25=0,"",SUMIFS(Telemetría!$F$5:$F$504,Telemetría!$B$5:$B$504,A25,Telemetría!$A$5:$A$504,D25))</f>
        <v/>
      </c>
      <c r="G25" s="7" t="str">
        <f t="shared" ca="1" si="1"/>
        <v/>
      </c>
      <c r="H25" t="str">
        <f t="shared" si="2"/>
        <v>Fuera del filtro</v>
      </c>
      <c r="I25">
        <f>IF(D25="",0,COUNTIFS(Telemetría!$B$5:$B$504,A25,Telemetría!$A$5:$A$504,D25))</f>
        <v>0</v>
      </c>
      <c r="J25" t="str">
        <f t="shared" si="3"/>
        <v/>
      </c>
    </row>
    <row r="27" spans="1:10">
      <c r="A27" t="s">
        <v>42</v>
      </c>
    </row>
    <row r="28" spans="1:10">
      <c r="A28" t="s">
        <v>95</v>
      </c>
    </row>
    <row r="30" spans="1:10">
      <c r="A30" t="s">
        <v>43</v>
      </c>
    </row>
    <row r="32" spans="1:10">
      <c r="A32" s="2" t="s">
        <v>44</v>
      </c>
      <c r="B32" s="2" t="s">
        <v>45</v>
      </c>
      <c r="C32" s="2" t="s">
        <v>46</v>
      </c>
      <c r="D32" s="2" t="s">
        <v>47</v>
      </c>
      <c r="E32" s="2" t="s">
        <v>48</v>
      </c>
      <c r="F32" s="2" t="s">
        <v>49</v>
      </c>
      <c r="G32" s="2" t="s">
        <v>50</v>
      </c>
      <c r="H32" s="2" t="s">
        <v>13</v>
      </c>
      <c r="I32" s="2"/>
      <c r="J32" s="2"/>
    </row>
    <row r="33" spans="1:8">
      <c r="A33" s="5">
        <f>DATE(2026,9,11)</f>
        <v>46276</v>
      </c>
      <c r="B33">
        <f>IF(OR(A33&lt;$H$5,A33&gt;$J$5),"",SUMIFS(Datos!$E$5:$E$228,Datos!$A$5:$A$228,A33,Datos!$M$5:$M$228,1))</f>
        <v>533</v>
      </c>
      <c r="C33">
        <f>IF(B33="","",SUMIFS(Datos!$G$5:$G$228,Datos!$A$5:$A$228,A33,Datos!$M$5:$M$228,1))</f>
        <v>35.512</v>
      </c>
      <c r="D33">
        <f t="shared" ref="D33:D48" si="4">IF(OR(B33="",C33=0),"",B33/C33)</f>
        <v>15.009011038522189</v>
      </c>
      <c r="E33" t="str">
        <f>IF(COUNTIFS(Datos!$A$5:$A$228,A33,Datos!$M$5:$M$228,1,Datos!$Q$5:$Q$228,"&gt;0")=0,"Pendiente GPS",_xlfn.MAXIFS(Datos!$Q$5:$Q$228,Datos!$A$5:$A$228,A33,Datos!$M$5:$M$228,1))</f>
        <v>Pendiente GPS</v>
      </c>
      <c r="F33">
        <f t="shared" ref="F33:F48" si="5">COUNTIFS($A$53:$A$180,A33,$C$53:$C$180,"Volquete",$H$53:$H$180,"Movimiento")</f>
        <v>4</v>
      </c>
      <c r="G33">
        <f t="shared" ref="G33:G48" si="6">COUNTIFS($A$53:$A$180,A33,$C$53:$C$180,"Volquete",$H$53:$H$180,"Stand by*")</f>
        <v>0</v>
      </c>
      <c r="H33">
        <f>IF(B33="","",SUMIFS(Datos!$H$5:$H$228,Datos!$A$5:$A$228,A33,Datos!$M$5:$M$228,1))</f>
        <v>6</v>
      </c>
    </row>
    <row r="34" spans="1:8">
      <c r="A34" s="5">
        <f t="shared" ref="A34:A48" si="7">A33+1</f>
        <v>46277</v>
      </c>
      <c r="B34">
        <f>IF(OR(A34&lt;$H$5,A34&gt;$J$5),"",SUMIFS(Datos!$E$5:$E$228,Datos!$A$5:$A$228,A34,Datos!$M$5:$M$228,1))</f>
        <v>536</v>
      </c>
      <c r="C34">
        <f>IF(B34="","",SUMIFS(Datos!$G$5:$G$228,Datos!$A$5:$A$228,A34,Datos!$M$5:$M$228,1))</f>
        <v>35.817000000000007</v>
      </c>
      <c r="D34">
        <f t="shared" si="4"/>
        <v>14.964960772817374</v>
      </c>
      <c r="E34" t="str">
        <f>IF(COUNTIFS(Datos!$A$5:$A$228,A34,Datos!$M$5:$M$228,1,Datos!$Q$5:$Q$228,"&gt;0")=0,"Pendiente GPS",_xlfn.MAXIFS(Datos!$Q$5:$Q$228,Datos!$A$5:$A$228,A34,Datos!$M$5:$M$228,1))</f>
        <v>Pendiente GPS</v>
      </c>
      <c r="F34">
        <f t="shared" si="5"/>
        <v>4</v>
      </c>
      <c r="G34">
        <f t="shared" si="6"/>
        <v>0</v>
      </c>
      <c r="H34">
        <f>IF(B34="","",SUMIFS(Datos!$H$5:$H$228,Datos!$A$5:$A$228,A34,Datos!$M$5:$M$228,1))</f>
        <v>4</v>
      </c>
    </row>
    <row r="35" spans="1:8">
      <c r="A35" s="5">
        <f t="shared" si="7"/>
        <v>46278</v>
      </c>
      <c r="B35">
        <f>IF(OR(A35&lt;$H$5,A35&gt;$J$5),"",SUMIFS(Datos!$E$5:$E$228,Datos!$A$5:$A$228,A35,Datos!$M$5:$M$228,1))</f>
        <v>513</v>
      </c>
      <c r="C35">
        <f>IF(B35="","",SUMIFS(Datos!$G$5:$G$228,Datos!$A$5:$A$228,A35,Datos!$M$5:$M$228,1))</f>
        <v>34.326000000000001</v>
      </c>
      <c r="D35">
        <f t="shared" si="4"/>
        <v>14.944939695857368</v>
      </c>
      <c r="E35" t="str">
        <f>IF(COUNTIFS(Datos!$A$5:$A$228,A35,Datos!$M$5:$M$228,1,Datos!$Q$5:$Q$228,"&gt;0")=0,"Pendiente GPS",_xlfn.MAXIFS(Datos!$Q$5:$Q$228,Datos!$A$5:$A$228,A35,Datos!$M$5:$M$228,1))</f>
        <v>Pendiente GPS</v>
      </c>
      <c r="F35">
        <f t="shared" si="5"/>
        <v>4</v>
      </c>
      <c r="G35">
        <f t="shared" si="6"/>
        <v>0</v>
      </c>
      <c r="H35">
        <f>IF(B35="","",SUMIFS(Datos!$H$5:$H$228,Datos!$A$5:$A$228,A35,Datos!$M$5:$M$228,1))</f>
        <v>6</v>
      </c>
    </row>
    <row r="36" spans="1:8">
      <c r="A36" s="5">
        <f t="shared" si="7"/>
        <v>46279</v>
      </c>
      <c r="B36">
        <f>IF(OR(A36&lt;$H$5,A36&gt;$J$5),"",SUMIFS(Datos!$E$5:$E$228,Datos!$A$5:$A$228,A36,Datos!$M$5:$M$228,1))</f>
        <v>538</v>
      </c>
      <c r="C36">
        <f>IF(B36="","",SUMIFS(Datos!$G$5:$G$228,Datos!$A$5:$A$228,A36,Datos!$M$5:$M$228,1))</f>
        <v>35.923999999999999</v>
      </c>
      <c r="D36">
        <f t="shared" si="4"/>
        <v>14.976060572319341</v>
      </c>
      <c r="E36" t="str">
        <f>IF(COUNTIFS(Datos!$A$5:$A$228,A36,Datos!$M$5:$M$228,1,Datos!$Q$5:$Q$228,"&gt;0")=0,"Pendiente GPS",_xlfn.MAXIFS(Datos!$Q$5:$Q$228,Datos!$A$5:$A$228,A36,Datos!$M$5:$M$228,1))</f>
        <v>Pendiente GPS</v>
      </c>
      <c r="F36">
        <f t="shared" si="5"/>
        <v>4</v>
      </c>
      <c r="G36">
        <f t="shared" si="6"/>
        <v>0</v>
      </c>
      <c r="H36">
        <f>IF(B36="","",SUMIFS(Datos!$H$5:$H$228,Datos!$A$5:$A$228,A36,Datos!$M$5:$M$228,1))</f>
        <v>6</v>
      </c>
    </row>
    <row r="37" spans="1:8">
      <c r="A37" s="5">
        <f t="shared" si="7"/>
        <v>46280</v>
      </c>
      <c r="B37">
        <f>IF(OR(A37&lt;$H$5,A37&gt;$J$5),"",SUMIFS(Datos!$E$5:$E$228,Datos!$A$5:$A$228,A37,Datos!$M$5:$M$228,1))</f>
        <v>536</v>
      </c>
      <c r="C37">
        <f>IF(B37="","",SUMIFS(Datos!$G$5:$G$228,Datos!$A$5:$A$228,A37,Datos!$M$5:$M$228,1))</f>
        <v>35.725999999999999</v>
      </c>
      <c r="D37">
        <f t="shared" si="4"/>
        <v>15.00307899009125</v>
      </c>
      <c r="E37" t="str">
        <f>IF(COUNTIFS(Datos!$A$5:$A$228,A37,Datos!$M$5:$M$228,1,Datos!$Q$5:$Q$228,"&gt;0")=0,"Pendiente GPS",_xlfn.MAXIFS(Datos!$Q$5:$Q$228,Datos!$A$5:$A$228,A37,Datos!$M$5:$M$228,1))</f>
        <v>Pendiente GPS</v>
      </c>
      <c r="F37">
        <f t="shared" si="5"/>
        <v>4</v>
      </c>
      <c r="G37">
        <f t="shared" si="6"/>
        <v>0</v>
      </c>
      <c r="H37">
        <f>IF(B37="","",SUMIFS(Datos!$H$5:$H$228,Datos!$A$5:$A$228,A37,Datos!$M$5:$M$228,1))</f>
        <v>6</v>
      </c>
    </row>
    <row r="38" spans="1:8">
      <c r="A38" s="5">
        <f t="shared" si="7"/>
        <v>46281</v>
      </c>
      <c r="B38">
        <f>IF(OR(A38&lt;$H$5,A38&gt;$J$5),"",SUMIFS(Datos!$E$5:$E$228,Datos!$A$5:$A$228,A38,Datos!$M$5:$M$228,1))</f>
        <v>537</v>
      </c>
      <c r="C38">
        <f>IF(B38="","",SUMIFS(Datos!$G$5:$G$228,Datos!$A$5:$A$228,A38,Datos!$M$5:$M$228,1))</f>
        <v>35.857000000000006</v>
      </c>
      <c r="D38">
        <f t="shared" si="4"/>
        <v>14.976155283487183</v>
      </c>
      <c r="E38" t="str">
        <f>IF(COUNTIFS(Datos!$A$5:$A$228,A38,Datos!$M$5:$M$228,1,Datos!$Q$5:$Q$228,"&gt;0")=0,"Pendiente GPS",_xlfn.MAXIFS(Datos!$Q$5:$Q$228,Datos!$A$5:$A$228,A38,Datos!$M$5:$M$228,1))</f>
        <v>Pendiente GPS</v>
      </c>
      <c r="F38">
        <f t="shared" si="5"/>
        <v>4</v>
      </c>
      <c r="G38">
        <f t="shared" si="6"/>
        <v>0</v>
      </c>
      <c r="H38">
        <f>IF(B38="","",SUMIFS(Datos!$H$5:$H$228,Datos!$A$5:$A$228,A38,Datos!$M$5:$M$228,1))</f>
        <v>4</v>
      </c>
    </row>
    <row r="39" spans="1:8">
      <c r="A39" s="5">
        <f t="shared" si="7"/>
        <v>46282</v>
      </c>
      <c r="B39">
        <f>IF(OR(A39&lt;$H$5,A39&gt;$J$5),"",SUMIFS(Datos!$E$5:$E$228,Datos!$A$5:$A$228,A39,Datos!$M$5:$M$228,1))</f>
        <v>538</v>
      </c>
      <c r="C39">
        <f>IF(B39="","",SUMIFS(Datos!$G$5:$G$228,Datos!$A$5:$A$228,A39,Datos!$M$5:$M$228,1))</f>
        <v>36.001999999999995</v>
      </c>
      <c r="D39">
        <f t="shared" si="4"/>
        <v>14.943614243653132</v>
      </c>
      <c r="E39" t="str">
        <f>IF(COUNTIFS(Datos!$A$5:$A$228,A39,Datos!$M$5:$M$228,1,Datos!$Q$5:$Q$228,"&gt;0")=0,"Pendiente GPS",_xlfn.MAXIFS(Datos!$Q$5:$Q$228,Datos!$A$5:$A$228,A39,Datos!$M$5:$M$228,1))</f>
        <v>Pendiente GPS</v>
      </c>
      <c r="F39">
        <f t="shared" si="5"/>
        <v>4</v>
      </c>
      <c r="G39">
        <f t="shared" si="6"/>
        <v>0</v>
      </c>
      <c r="H39">
        <f>IF(B39="","",SUMIFS(Datos!$H$5:$H$228,Datos!$A$5:$A$228,A39,Datos!$M$5:$M$228,1))</f>
        <v>6</v>
      </c>
    </row>
    <row r="40" spans="1:8">
      <c r="A40" s="5">
        <f t="shared" si="7"/>
        <v>46283</v>
      </c>
      <c r="B40">
        <f>IF(OR(A40&lt;$H$5,A40&gt;$J$5),"",SUMIFS(Datos!$E$5:$E$228,Datos!$A$5:$A$228,A40,Datos!$M$5:$M$228,1))</f>
        <v>517</v>
      </c>
      <c r="C40">
        <f>IF(B40="","",SUMIFS(Datos!$G$5:$G$228,Datos!$A$5:$A$228,A40,Datos!$M$5:$M$228,1))</f>
        <v>34.420999999999999</v>
      </c>
      <c r="D40">
        <f t="shared" si="4"/>
        <v>15.019900642049912</v>
      </c>
      <c r="E40" t="str">
        <f>IF(COUNTIFS(Datos!$A$5:$A$228,A40,Datos!$M$5:$M$228,1,Datos!$Q$5:$Q$228,"&gt;0")=0,"Pendiente GPS",_xlfn.MAXIFS(Datos!$Q$5:$Q$228,Datos!$A$5:$A$228,A40,Datos!$M$5:$M$228,1))</f>
        <v>Pendiente GPS</v>
      </c>
      <c r="F40">
        <f t="shared" si="5"/>
        <v>4</v>
      </c>
      <c r="G40">
        <f t="shared" si="6"/>
        <v>0</v>
      </c>
      <c r="H40">
        <f>IF(B40="","",SUMIFS(Datos!$H$5:$H$228,Datos!$A$5:$A$228,A40,Datos!$M$5:$M$228,1))</f>
        <v>6</v>
      </c>
    </row>
    <row r="41" spans="1:8">
      <c r="A41" s="5">
        <f t="shared" si="7"/>
        <v>46284</v>
      </c>
      <c r="B41">
        <f>IF(OR(A41&lt;$H$5,A41&gt;$J$5),"",SUMIFS(Datos!$E$5:$E$228,Datos!$A$5:$A$228,A41,Datos!$M$5:$M$228,1))</f>
        <v>516</v>
      </c>
      <c r="C41">
        <f>IF(B41="","",SUMIFS(Datos!$G$5:$G$228,Datos!$A$5:$A$228,A41,Datos!$M$5:$M$228,1))</f>
        <v>34.503999999999998</v>
      </c>
      <c r="D41">
        <f t="shared" si="4"/>
        <v>14.95478785068398</v>
      </c>
      <c r="E41" t="str">
        <f>IF(COUNTIFS(Datos!$A$5:$A$228,A41,Datos!$M$5:$M$228,1,Datos!$Q$5:$Q$228,"&gt;0")=0,"Pendiente GPS",_xlfn.MAXIFS(Datos!$Q$5:$Q$228,Datos!$A$5:$A$228,A41,Datos!$M$5:$M$228,1))</f>
        <v>Pendiente GPS</v>
      </c>
      <c r="F41">
        <f t="shared" si="5"/>
        <v>4</v>
      </c>
      <c r="G41">
        <f t="shared" si="6"/>
        <v>0</v>
      </c>
      <c r="H41">
        <f>IF(B41="","",SUMIFS(Datos!$H$5:$H$228,Datos!$A$5:$A$228,A41,Datos!$M$5:$M$228,1))</f>
        <v>6</v>
      </c>
    </row>
    <row r="42" spans="1:8">
      <c r="A42" s="5">
        <f t="shared" si="7"/>
        <v>46285</v>
      </c>
      <c r="B42">
        <f>IF(OR(A42&lt;$H$5,A42&gt;$J$5),"",SUMIFS(Datos!$E$5:$E$228,Datos!$A$5:$A$228,A42,Datos!$M$5:$M$228,1))</f>
        <v>521</v>
      </c>
      <c r="C42">
        <f>IF(B42="","",SUMIFS(Datos!$G$5:$G$228,Datos!$A$5:$A$228,A42,Datos!$M$5:$M$228,1))</f>
        <v>34.716000000000001</v>
      </c>
      <c r="D42">
        <f t="shared" si="4"/>
        <v>15.007489342090102</v>
      </c>
      <c r="E42" t="str">
        <f>IF(COUNTIFS(Datos!$A$5:$A$228,A42,Datos!$M$5:$M$228,1,Datos!$Q$5:$Q$228,"&gt;0")=0,"Pendiente GPS",_xlfn.MAXIFS(Datos!$Q$5:$Q$228,Datos!$A$5:$A$228,A42,Datos!$M$5:$M$228,1))</f>
        <v>Pendiente GPS</v>
      </c>
      <c r="F42">
        <f t="shared" si="5"/>
        <v>4</v>
      </c>
      <c r="G42">
        <f t="shared" si="6"/>
        <v>0</v>
      </c>
      <c r="H42">
        <f>IF(B42="","",SUMIFS(Datos!$H$5:$H$228,Datos!$A$5:$A$228,A42,Datos!$M$5:$M$228,1))</f>
        <v>4</v>
      </c>
    </row>
    <row r="43" spans="1:8">
      <c r="A43" s="5">
        <f t="shared" si="7"/>
        <v>46286</v>
      </c>
      <c r="B43">
        <f>IF(OR(A43&lt;$H$5,A43&gt;$J$5),"",SUMIFS(Datos!$E$5:$E$228,Datos!$A$5:$A$228,A43,Datos!$M$5:$M$228,1))</f>
        <v>542</v>
      </c>
      <c r="C43">
        <f>IF(B43="","",SUMIFS(Datos!$G$5:$G$228,Datos!$A$5:$A$228,A43,Datos!$M$5:$M$228,1))</f>
        <v>36.207000000000008</v>
      </c>
      <c r="D43">
        <f t="shared" si="4"/>
        <v>14.969481039577978</v>
      </c>
      <c r="E43" t="str">
        <f>IF(COUNTIFS(Datos!$A$5:$A$228,A43,Datos!$M$5:$M$228,1,Datos!$Q$5:$Q$228,"&gt;0")=0,"Pendiente GPS",_xlfn.MAXIFS(Datos!$Q$5:$Q$228,Datos!$A$5:$A$228,A43,Datos!$M$5:$M$228,1))</f>
        <v>Pendiente GPS</v>
      </c>
      <c r="F43">
        <f t="shared" si="5"/>
        <v>4</v>
      </c>
      <c r="G43">
        <f t="shared" si="6"/>
        <v>0</v>
      </c>
      <c r="H43">
        <f>IF(B43="","",SUMIFS(Datos!$H$5:$H$228,Datos!$A$5:$A$228,A43,Datos!$M$5:$M$228,1))</f>
        <v>6</v>
      </c>
    </row>
    <row r="44" spans="1:8">
      <c r="A44" s="5">
        <f t="shared" si="7"/>
        <v>46287</v>
      </c>
      <c r="B44">
        <f>IF(OR(A44&lt;$H$5,A44&gt;$J$5),"",SUMIFS(Datos!$E$5:$E$228,Datos!$A$5:$A$228,A44,Datos!$M$5:$M$228,1))</f>
        <v>547</v>
      </c>
      <c r="C44">
        <f>IF(B44="","",SUMIFS(Datos!$G$5:$G$228,Datos!$A$5:$A$228,A44,Datos!$M$5:$M$228,1))</f>
        <v>36.436999999999998</v>
      </c>
      <c r="D44">
        <f t="shared" si="4"/>
        <v>15.012212860553834</v>
      </c>
      <c r="E44" t="str">
        <f>IF(COUNTIFS(Datos!$A$5:$A$228,A44,Datos!$M$5:$M$228,1,Datos!$Q$5:$Q$228,"&gt;0")=0,"Pendiente GPS",_xlfn.MAXIFS(Datos!$Q$5:$Q$228,Datos!$A$5:$A$228,A44,Datos!$M$5:$M$228,1))</f>
        <v>Pendiente GPS</v>
      </c>
      <c r="F44">
        <f t="shared" si="5"/>
        <v>4</v>
      </c>
      <c r="G44">
        <f t="shared" si="6"/>
        <v>0</v>
      </c>
      <c r="H44">
        <f>IF(B44="","",SUMIFS(Datos!$H$5:$H$228,Datos!$A$5:$A$228,A44,Datos!$M$5:$M$228,1))</f>
        <v>6</v>
      </c>
    </row>
    <row r="45" spans="1:8">
      <c r="A45" s="5">
        <f t="shared" si="7"/>
        <v>46288</v>
      </c>
      <c r="B45">
        <f>IF(OR(A45&lt;$H$5,A45&gt;$J$5),"",SUMIFS(Datos!$E$5:$E$228,Datos!$A$5:$A$228,A45,Datos!$M$5:$M$228,1))</f>
        <v>543</v>
      </c>
      <c r="C45">
        <f>IF(B45="","",SUMIFS(Datos!$G$5:$G$228,Datos!$A$5:$A$228,A45,Datos!$M$5:$M$228,1))</f>
        <v>36.295999999999999</v>
      </c>
      <c r="D45">
        <f t="shared" si="4"/>
        <v>14.960326206744545</v>
      </c>
      <c r="E45" t="str">
        <f>IF(COUNTIFS(Datos!$A$5:$A$228,A45,Datos!$M$5:$M$228,1,Datos!$Q$5:$Q$228,"&gt;0")=0,"Pendiente GPS",_xlfn.MAXIFS(Datos!$Q$5:$Q$228,Datos!$A$5:$A$228,A45,Datos!$M$5:$M$228,1))</f>
        <v>Pendiente GPS</v>
      </c>
      <c r="F45">
        <f t="shared" si="5"/>
        <v>4</v>
      </c>
      <c r="G45">
        <f t="shared" si="6"/>
        <v>0</v>
      </c>
      <c r="H45">
        <f>IF(B45="","",SUMIFS(Datos!$H$5:$H$228,Datos!$A$5:$A$228,A45,Datos!$M$5:$M$228,1))</f>
        <v>6</v>
      </c>
    </row>
    <row r="46" spans="1:8">
      <c r="A46" s="5">
        <f t="shared" si="7"/>
        <v>46289</v>
      </c>
      <c r="B46">
        <f>IF(OR(A46&lt;$H$5,A46&gt;$J$5),"",SUMIFS(Datos!$E$5:$E$228,Datos!$A$5:$A$228,A46,Datos!$M$5:$M$228,1))</f>
        <v>546</v>
      </c>
      <c r="C46">
        <f>IF(B46="","",SUMIFS(Datos!$G$5:$G$228,Datos!$A$5:$A$228,A46,Datos!$M$5:$M$228,1))</f>
        <v>36.454000000000001</v>
      </c>
      <c r="D46">
        <f t="shared" si="4"/>
        <v>14.977780216162834</v>
      </c>
      <c r="E46" t="str">
        <f>IF(COUNTIFS(Datos!$A$5:$A$228,A46,Datos!$M$5:$M$228,1,Datos!$Q$5:$Q$228,"&gt;0")=0,"Pendiente GPS",_xlfn.MAXIFS(Datos!$Q$5:$Q$228,Datos!$A$5:$A$228,A46,Datos!$M$5:$M$228,1))</f>
        <v>Pendiente GPS</v>
      </c>
      <c r="F46">
        <f t="shared" si="5"/>
        <v>4</v>
      </c>
      <c r="G46">
        <f t="shared" si="6"/>
        <v>0</v>
      </c>
      <c r="H46">
        <f>IF(B46="","",SUMIFS(Datos!$H$5:$H$228,Datos!$A$5:$A$228,A46,Datos!$M$5:$M$228,1))</f>
        <v>4</v>
      </c>
    </row>
    <row r="47" spans="1:8">
      <c r="A47" s="5">
        <f t="shared" si="7"/>
        <v>46290</v>
      </c>
      <c r="B47">
        <f>IF(OR(A47&lt;$H$5,A47&gt;$J$5),"",SUMIFS(Datos!$E$5:$E$228,Datos!$A$5:$A$228,A47,Datos!$M$5:$M$228,1))</f>
        <v>0</v>
      </c>
      <c r="C47">
        <f>IF(B47="","",SUMIFS(Datos!$G$5:$G$228,Datos!$A$5:$A$228,A47,Datos!$M$5:$M$228,1))</f>
        <v>0</v>
      </c>
      <c r="D47" t="str">
        <f t="shared" si="4"/>
        <v/>
      </c>
      <c r="E47" t="str">
        <f>IF(COUNTIFS(Datos!$A$5:$A$228,A47,Datos!$M$5:$M$228,1,Datos!$Q$5:$Q$228,"&gt;0")=0,"Pendiente GPS",_xlfn.MAXIFS(Datos!$Q$5:$Q$228,Datos!$A$5:$A$228,A47,Datos!$M$5:$M$228,1))</f>
        <v>Pendiente GPS</v>
      </c>
      <c r="F47">
        <f t="shared" si="5"/>
        <v>0</v>
      </c>
      <c r="G47">
        <f t="shared" si="6"/>
        <v>0</v>
      </c>
      <c r="H47">
        <f>IF(B47="","",SUMIFS(Datos!$H$5:$H$228,Datos!$A$5:$A$228,A47,Datos!$M$5:$M$228,1))</f>
        <v>0</v>
      </c>
    </row>
    <row r="48" spans="1:8">
      <c r="A48" s="5">
        <f t="shared" si="7"/>
        <v>46291</v>
      </c>
      <c r="B48">
        <f>IF(OR(A48&lt;$H$5,A48&gt;$J$5),"",SUMIFS(Datos!$E$5:$E$228,Datos!$A$5:$A$228,A48,Datos!$M$5:$M$228,1))</f>
        <v>0</v>
      </c>
      <c r="C48">
        <f>IF(B48="","",SUMIFS(Datos!$G$5:$G$228,Datos!$A$5:$A$228,A48,Datos!$M$5:$M$228,1))</f>
        <v>0</v>
      </c>
      <c r="D48" t="str">
        <f t="shared" si="4"/>
        <v/>
      </c>
      <c r="E48" t="str">
        <f>IF(COUNTIFS(Datos!$A$5:$A$228,A48,Datos!$M$5:$M$228,1,Datos!$Q$5:$Q$228,"&gt;0")=0,"Pendiente GPS",_xlfn.MAXIFS(Datos!$Q$5:$Q$228,Datos!$A$5:$A$228,A48,Datos!$M$5:$M$228,1))</f>
        <v>Pendiente GPS</v>
      </c>
      <c r="F48">
        <f t="shared" si="5"/>
        <v>0</v>
      </c>
      <c r="G48">
        <f t="shared" si="6"/>
        <v>0</v>
      </c>
      <c r="H48">
        <f>IF(B48="","",SUMIFS(Datos!$H$5:$H$228,Datos!$A$5:$A$228,A48,Datos!$M$5:$M$228,1))</f>
        <v>0</v>
      </c>
    </row>
    <row r="49" spans="1:12">
      <c r="A49" t="s">
        <v>51</v>
      </c>
    </row>
    <row r="50" spans="1:12">
      <c r="A50" t="s">
        <v>52</v>
      </c>
    </row>
    <row r="51" spans="1:12">
      <c r="L51" t="s">
        <v>53</v>
      </c>
    </row>
    <row r="52" spans="1:12">
      <c r="A52" s="2" t="s">
        <v>44</v>
      </c>
      <c r="B52" s="2" t="s">
        <v>6</v>
      </c>
      <c r="C52" s="2" t="s">
        <v>23</v>
      </c>
      <c r="D52" s="2" t="s">
        <v>45</v>
      </c>
      <c r="E52" s="2" t="s">
        <v>46</v>
      </c>
      <c r="F52" s="2" t="s">
        <v>47</v>
      </c>
      <c r="G52" s="2" t="s">
        <v>48</v>
      </c>
      <c r="H52" s="2" t="s">
        <v>54</v>
      </c>
      <c r="I52" s="2" t="s">
        <v>55</v>
      </c>
      <c r="J52" s="2" t="s">
        <v>56</v>
      </c>
    </row>
    <row r="53" spans="1:12">
      <c r="A53" s="5">
        <f>A33</f>
        <v>46276</v>
      </c>
      <c r="B53" t="s">
        <v>31</v>
      </c>
      <c r="C53" t="s">
        <v>8</v>
      </c>
      <c r="D53" s="8">
        <f>IF(J53=0,"",SUMIFS(Datos!$E$5:$E$228,Datos!$A$5:$A$228,A53,Datos!$B$5:$B$228,B53,Datos!$M$5:$M$228,1))</f>
        <v>130</v>
      </c>
      <c r="E53" s="8">
        <f>IF(J53=0,"",SUMIFS(Datos!$G$5:$G$228,Datos!$A$5:$A$228,A53,Datos!$B$5:$B$228,B53,Datos!$M$5:$M$228,1))</f>
        <v>8.6580000000000013</v>
      </c>
      <c r="F53" s="8">
        <f t="shared" ref="F53:F84" si="8">IF(OR(J53=0,E53=0),"",D53/E53)</f>
        <v>15.015015015015013</v>
      </c>
      <c r="G53" s="8" t="str">
        <f>IF(COUNTIFS(Datos!$A$5:$A$228,A53,Datos!$B$5:$B$228,B53,Datos!$M$5:$M$228,1,Datos!$Q$5:$Q$228,"&gt;0")=0,"Pendiente GPS",_xlfn.MAXIFS(Datos!$Q$5:$Q$228,Datos!$A$5:$A$228,A53,Datos!$B$5:$B$228,B53,Datos!$M$5:$M$228,1))</f>
        <v>Pendiente GPS</v>
      </c>
      <c r="H53" t="str">
        <f t="shared" ref="H53:H84" si="9">IF(J53=0,"Sin registro",IF(E53&gt;0,"Movimiento",IF(I53&gt;0,"Stand by*","Sin actividad")))</f>
        <v>Movimiento</v>
      </c>
      <c r="I53">
        <f>IF(J53=0,"",SUMIFS(Datos!$F$5:$F$228,Datos!$A$5:$A$228,A53,Datos!$B$5:$B$228,B53,Datos!$M$5:$M$228,1))</f>
        <v>13.5</v>
      </c>
      <c r="J53">
        <f>COUNTIFS(Datos!$A$5:$A$228,A53,Datos!$B$5:$B$228,B53,Datos!$M$5:$M$228,1)</f>
        <v>2</v>
      </c>
    </row>
    <row r="54" spans="1:12">
      <c r="A54" s="5">
        <f>A33</f>
        <v>46276</v>
      </c>
      <c r="B54" t="s">
        <v>32</v>
      </c>
      <c r="C54" t="s">
        <v>8</v>
      </c>
      <c r="D54" s="8">
        <f>IF(J54=0,"",SUMIFS(Datos!$E$5:$E$228,Datos!$A$5:$A$228,A54,Datos!$B$5:$B$228,B54,Datos!$M$5:$M$228,1))</f>
        <v>134</v>
      </c>
      <c r="E54" s="8">
        <f>IF(J54=0,"",SUMIFS(Datos!$G$5:$G$228,Datos!$A$5:$A$228,A54,Datos!$B$5:$B$228,B54,Datos!$M$5:$M$228,1))</f>
        <v>8.9190000000000005</v>
      </c>
      <c r="F54" s="8">
        <f t="shared" si="8"/>
        <v>15.024105841462047</v>
      </c>
      <c r="G54" s="8" t="str">
        <f>IF(COUNTIFS(Datos!$A$5:$A$228,A54,Datos!$B$5:$B$228,B54,Datos!$M$5:$M$228,1,Datos!$Q$5:$Q$228,"&gt;0")=0,"Pendiente GPS",_xlfn.MAXIFS(Datos!$Q$5:$Q$228,Datos!$A$5:$A$228,A54,Datos!$B$5:$B$228,B54,Datos!$M$5:$M$228,1))</f>
        <v>Pendiente GPS</v>
      </c>
      <c r="H54" t="str">
        <f t="shared" si="9"/>
        <v>Movimiento</v>
      </c>
      <c r="I54">
        <f>IF(J54=0,"",SUMIFS(Datos!$F$5:$F$228,Datos!$A$5:$A$228,A54,Datos!$B$5:$B$228,B54,Datos!$M$5:$M$228,1))</f>
        <v>14.4</v>
      </c>
      <c r="J54">
        <f>COUNTIFS(Datos!$A$5:$A$228,A54,Datos!$B$5:$B$228,B54,Datos!$M$5:$M$228,1)</f>
        <v>2</v>
      </c>
    </row>
    <row r="55" spans="1:12">
      <c r="A55" s="5">
        <f>A33</f>
        <v>46276</v>
      </c>
      <c r="B55" t="s">
        <v>33</v>
      </c>
      <c r="C55" t="s">
        <v>8</v>
      </c>
      <c r="D55" s="8">
        <f>IF(J55=0,"",SUMIFS(Datos!$E$5:$E$228,Datos!$A$5:$A$228,A55,Datos!$B$5:$B$228,B55,Datos!$M$5:$M$228,1))</f>
        <v>133</v>
      </c>
      <c r="E55" s="8">
        <f>IF(J55=0,"",SUMIFS(Datos!$G$5:$G$228,Datos!$A$5:$A$228,A55,Datos!$B$5:$B$228,B55,Datos!$M$5:$M$228,1))</f>
        <v>8.9009999999999998</v>
      </c>
      <c r="F55" s="8">
        <f t="shared" si="8"/>
        <v>14.942141332434558</v>
      </c>
      <c r="G55" s="8" t="str">
        <f>IF(COUNTIFS(Datos!$A$5:$A$228,A55,Datos!$B$5:$B$228,B55,Datos!$M$5:$M$228,1,Datos!$Q$5:$Q$228,"&gt;0")=0,"Pendiente GPS",_xlfn.MAXIFS(Datos!$Q$5:$Q$228,Datos!$A$5:$A$228,A55,Datos!$B$5:$B$228,B55,Datos!$M$5:$M$228,1))</f>
        <v>Pendiente GPS</v>
      </c>
      <c r="H55" t="str">
        <f t="shared" si="9"/>
        <v>Movimiento</v>
      </c>
      <c r="I55">
        <f>IF(J55=0,"",SUMIFS(Datos!$F$5:$F$228,Datos!$A$5:$A$228,A55,Datos!$B$5:$B$228,B55,Datos!$M$5:$M$228,1))</f>
        <v>15.299999999999999</v>
      </c>
      <c r="J55">
        <f>COUNTIFS(Datos!$A$5:$A$228,A55,Datos!$B$5:$B$228,B55,Datos!$M$5:$M$228,1)</f>
        <v>2</v>
      </c>
    </row>
    <row r="56" spans="1:12">
      <c r="A56" s="5">
        <f>A33</f>
        <v>46276</v>
      </c>
      <c r="B56" t="s">
        <v>34</v>
      </c>
      <c r="C56" t="s">
        <v>8</v>
      </c>
      <c r="D56" s="8">
        <f>IF(J56=0,"",SUMIFS(Datos!$E$5:$E$228,Datos!$A$5:$A$228,A56,Datos!$B$5:$B$228,B56,Datos!$M$5:$M$228,1))</f>
        <v>136</v>
      </c>
      <c r="E56" s="8">
        <f>IF(J56=0,"",SUMIFS(Datos!$G$5:$G$228,Datos!$A$5:$A$228,A56,Datos!$B$5:$B$228,B56,Datos!$M$5:$M$228,1))</f>
        <v>9.0339999999999989</v>
      </c>
      <c r="F56" s="8">
        <f t="shared" si="8"/>
        <v>15.054239539517381</v>
      </c>
      <c r="G56" s="8" t="str">
        <f>IF(COUNTIFS(Datos!$A$5:$A$228,A56,Datos!$B$5:$B$228,B56,Datos!$M$5:$M$228,1,Datos!$Q$5:$Q$228,"&gt;0")=0,"Pendiente GPS",_xlfn.MAXIFS(Datos!$Q$5:$Q$228,Datos!$A$5:$A$228,A56,Datos!$B$5:$B$228,B56,Datos!$M$5:$M$228,1))</f>
        <v>Pendiente GPS</v>
      </c>
      <c r="H56" t="str">
        <f t="shared" si="9"/>
        <v>Movimiento</v>
      </c>
      <c r="I56">
        <f>IF(J56=0,"",SUMIFS(Datos!$F$5:$F$228,Datos!$A$5:$A$228,A56,Datos!$B$5:$B$228,B56,Datos!$M$5:$M$228,1))</f>
        <v>13.7</v>
      </c>
      <c r="J56">
        <f>COUNTIFS(Datos!$A$5:$A$228,A56,Datos!$B$5:$B$228,B56,Datos!$M$5:$M$228,1)</f>
        <v>2</v>
      </c>
    </row>
    <row r="57" spans="1:12">
      <c r="A57" s="5">
        <f>A33</f>
        <v>46276</v>
      </c>
      <c r="B57" t="s">
        <v>35</v>
      </c>
      <c r="C57" t="s">
        <v>36</v>
      </c>
      <c r="D57" s="8" t="str">
        <f>IF(J57=0,"",SUMIFS(Datos!$E$5:$E$228,Datos!$A$5:$A$228,A57,Datos!$B$5:$B$228,B57,Datos!$M$5:$M$228,1))</f>
        <v/>
      </c>
      <c r="E57" s="8" t="str">
        <f>IF(J57=0,"",SUMIFS(Datos!$G$5:$G$228,Datos!$A$5:$A$228,A57,Datos!$B$5:$B$228,B57,Datos!$M$5:$M$228,1))</f>
        <v/>
      </c>
      <c r="F57" s="8" t="str">
        <f t="shared" si="8"/>
        <v/>
      </c>
      <c r="G57" s="8" t="str">
        <f>IF(COUNTIFS(Datos!$A$5:$A$228,A57,Datos!$B$5:$B$228,B57,Datos!$M$5:$M$228,1,Datos!$Q$5:$Q$228,"&gt;0")=0,"Pendiente GPS",_xlfn.MAXIFS(Datos!$Q$5:$Q$228,Datos!$A$5:$A$228,A57,Datos!$B$5:$B$228,B57,Datos!$M$5:$M$228,1))</f>
        <v>Pendiente GPS</v>
      </c>
      <c r="H57" t="str">
        <f t="shared" si="9"/>
        <v>Sin registro</v>
      </c>
      <c r="I57" t="str">
        <f>IF(J57=0,"",SUMIFS(Datos!$F$5:$F$228,Datos!$A$5:$A$228,A57,Datos!$B$5:$B$228,B57,Datos!$M$5:$M$228,1))</f>
        <v/>
      </c>
      <c r="J57">
        <f>COUNTIFS(Datos!$A$5:$A$228,A57,Datos!$B$5:$B$228,B57,Datos!$M$5:$M$228,1)</f>
        <v>0</v>
      </c>
    </row>
    <row r="58" spans="1:12">
      <c r="A58" s="5">
        <f>A33</f>
        <v>46276</v>
      </c>
      <c r="B58" t="s">
        <v>37</v>
      </c>
      <c r="C58" t="s">
        <v>36</v>
      </c>
      <c r="D58" s="8" t="str">
        <f>IF(J58=0,"",SUMIFS(Datos!$E$5:$E$228,Datos!$A$5:$A$228,A58,Datos!$B$5:$B$228,B58,Datos!$M$5:$M$228,1))</f>
        <v/>
      </c>
      <c r="E58" s="8" t="str">
        <f>IF(J58=0,"",SUMIFS(Datos!$G$5:$G$228,Datos!$A$5:$A$228,A58,Datos!$B$5:$B$228,B58,Datos!$M$5:$M$228,1))</f>
        <v/>
      </c>
      <c r="F58" s="8" t="str">
        <f t="shared" si="8"/>
        <v/>
      </c>
      <c r="G58" s="8" t="str">
        <f>IF(COUNTIFS(Datos!$A$5:$A$228,A58,Datos!$B$5:$B$228,B58,Datos!$M$5:$M$228,1,Datos!$Q$5:$Q$228,"&gt;0")=0,"Pendiente GPS",_xlfn.MAXIFS(Datos!$Q$5:$Q$228,Datos!$A$5:$A$228,A58,Datos!$B$5:$B$228,B58,Datos!$M$5:$M$228,1))</f>
        <v>Pendiente GPS</v>
      </c>
      <c r="H58" t="str">
        <f t="shared" si="9"/>
        <v>Sin registro</v>
      </c>
      <c r="I58" t="str">
        <f>IF(J58=0,"",SUMIFS(Datos!$F$5:$F$228,Datos!$A$5:$A$228,A58,Datos!$B$5:$B$228,B58,Datos!$M$5:$M$228,1))</f>
        <v/>
      </c>
      <c r="J58">
        <f>COUNTIFS(Datos!$A$5:$A$228,A58,Datos!$B$5:$B$228,B58,Datos!$M$5:$M$228,1)</f>
        <v>0</v>
      </c>
    </row>
    <row r="59" spans="1:12">
      <c r="A59" s="5">
        <f>A33</f>
        <v>46276</v>
      </c>
      <c r="B59" t="s">
        <v>38</v>
      </c>
      <c r="C59" t="s">
        <v>39</v>
      </c>
      <c r="D59" s="8" t="str">
        <f>IF(J59=0,"",SUMIFS(Datos!$E$5:$E$228,Datos!$A$5:$A$228,A59,Datos!$B$5:$B$228,B59,Datos!$M$5:$M$228,1))</f>
        <v/>
      </c>
      <c r="E59" s="8" t="str">
        <f>IF(J59=0,"",SUMIFS(Datos!$G$5:$G$228,Datos!$A$5:$A$228,A59,Datos!$B$5:$B$228,B59,Datos!$M$5:$M$228,1))</f>
        <v/>
      </c>
      <c r="F59" s="8" t="str">
        <f t="shared" si="8"/>
        <v/>
      </c>
      <c r="G59" s="8" t="str">
        <f>IF(COUNTIFS(Datos!$A$5:$A$228,A59,Datos!$B$5:$B$228,B59,Datos!$M$5:$M$228,1,Datos!$Q$5:$Q$228,"&gt;0")=0,"Pendiente GPS",_xlfn.MAXIFS(Datos!$Q$5:$Q$228,Datos!$A$5:$A$228,A59,Datos!$B$5:$B$228,B59,Datos!$M$5:$M$228,1))</f>
        <v>Pendiente GPS</v>
      </c>
      <c r="H59" t="str">
        <f t="shared" si="9"/>
        <v>Sin registro</v>
      </c>
      <c r="I59" t="str">
        <f>IF(J59=0,"",SUMIFS(Datos!$F$5:$F$228,Datos!$A$5:$A$228,A59,Datos!$B$5:$B$228,B59,Datos!$M$5:$M$228,1))</f>
        <v/>
      </c>
      <c r="J59">
        <f>COUNTIFS(Datos!$A$5:$A$228,A59,Datos!$B$5:$B$228,B59,Datos!$M$5:$M$228,1)</f>
        <v>0</v>
      </c>
    </row>
    <row r="60" spans="1:12">
      <c r="A60" s="5">
        <f>A33</f>
        <v>46276</v>
      </c>
      <c r="B60" t="s">
        <v>40</v>
      </c>
      <c r="C60" t="s">
        <v>41</v>
      </c>
      <c r="D60" s="8" t="str">
        <f>IF(J60=0,"",SUMIFS(Datos!$E$5:$E$228,Datos!$A$5:$A$228,A60,Datos!$B$5:$B$228,B60,Datos!$M$5:$M$228,1))</f>
        <v/>
      </c>
      <c r="E60" s="8" t="str">
        <f>IF(J60=0,"",SUMIFS(Datos!$G$5:$G$228,Datos!$A$5:$A$228,A60,Datos!$B$5:$B$228,B60,Datos!$M$5:$M$228,1))</f>
        <v/>
      </c>
      <c r="F60" s="8" t="str">
        <f t="shared" si="8"/>
        <v/>
      </c>
      <c r="G60" s="8" t="str">
        <f>IF(COUNTIFS(Datos!$A$5:$A$228,A60,Datos!$B$5:$B$228,B60,Datos!$M$5:$M$228,1,Datos!$Q$5:$Q$228,"&gt;0")=0,"Pendiente GPS",_xlfn.MAXIFS(Datos!$Q$5:$Q$228,Datos!$A$5:$A$228,A60,Datos!$B$5:$B$228,B60,Datos!$M$5:$M$228,1))</f>
        <v>Pendiente GPS</v>
      </c>
      <c r="H60" t="str">
        <f t="shared" si="9"/>
        <v>Sin registro</v>
      </c>
      <c r="I60" t="str">
        <f>IF(J60=0,"",SUMIFS(Datos!$F$5:$F$228,Datos!$A$5:$A$228,A60,Datos!$B$5:$B$228,B60,Datos!$M$5:$M$228,1))</f>
        <v/>
      </c>
      <c r="J60">
        <f>COUNTIFS(Datos!$A$5:$A$228,A60,Datos!$B$5:$B$228,B60,Datos!$M$5:$M$228,1)</f>
        <v>0</v>
      </c>
    </row>
    <row r="61" spans="1:12">
      <c r="A61" s="5">
        <f>A34</f>
        <v>46277</v>
      </c>
      <c r="B61" t="s">
        <v>31</v>
      </c>
      <c r="C61" t="s">
        <v>8</v>
      </c>
      <c r="D61" s="8">
        <f>IF(J61=0,"",SUMIFS(Datos!$E$5:$E$228,Datos!$A$5:$A$228,A61,Datos!$B$5:$B$228,B61,Datos!$M$5:$M$228,1))</f>
        <v>138</v>
      </c>
      <c r="E61" s="8">
        <f>IF(J61=0,"",SUMIFS(Datos!$G$5:$G$228,Datos!$A$5:$A$228,A61,Datos!$B$5:$B$228,B61,Datos!$M$5:$M$228,1))</f>
        <v>9.2240000000000002</v>
      </c>
      <c r="F61" s="8">
        <f t="shared" si="8"/>
        <v>14.960971379011275</v>
      </c>
      <c r="G61" s="8" t="str">
        <f>IF(COUNTIFS(Datos!$A$5:$A$228,A61,Datos!$B$5:$B$228,B61,Datos!$M$5:$M$228,1,Datos!$Q$5:$Q$228,"&gt;0")=0,"Pendiente GPS",_xlfn.MAXIFS(Datos!$Q$5:$Q$228,Datos!$A$5:$A$228,A61,Datos!$B$5:$B$228,B61,Datos!$M$5:$M$228,1))</f>
        <v>Pendiente GPS</v>
      </c>
      <c r="H61" t="str">
        <f t="shared" si="9"/>
        <v>Movimiento</v>
      </c>
      <c r="I61">
        <f>IF(J61=0,"",SUMIFS(Datos!$F$5:$F$228,Datos!$A$5:$A$228,A61,Datos!$B$5:$B$228,B61,Datos!$M$5:$M$228,1))</f>
        <v>14.9</v>
      </c>
      <c r="J61">
        <f>COUNTIFS(Datos!$A$5:$A$228,A61,Datos!$B$5:$B$228,B61,Datos!$M$5:$M$228,1)</f>
        <v>2</v>
      </c>
    </row>
    <row r="62" spans="1:12">
      <c r="A62" s="5">
        <f>A34</f>
        <v>46277</v>
      </c>
      <c r="B62" t="s">
        <v>32</v>
      </c>
      <c r="C62" t="s">
        <v>8</v>
      </c>
      <c r="D62" s="8">
        <f>IF(J62=0,"",SUMIFS(Datos!$E$5:$E$228,Datos!$A$5:$A$228,A62,Datos!$B$5:$B$228,B62,Datos!$M$5:$M$228,1))</f>
        <v>117</v>
      </c>
      <c r="E62" s="8">
        <f>IF(J62=0,"",SUMIFS(Datos!$G$5:$G$228,Datos!$A$5:$A$228,A62,Datos!$B$5:$B$228,B62,Datos!$M$5:$M$228,1))</f>
        <v>7.8410000000000011</v>
      </c>
      <c r="F62" s="8">
        <f t="shared" si="8"/>
        <v>14.921566126769543</v>
      </c>
      <c r="G62" s="8" t="str">
        <f>IF(COUNTIFS(Datos!$A$5:$A$228,A62,Datos!$B$5:$B$228,B62,Datos!$M$5:$M$228,1,Datos!$Q$5:$Q$228,"&gt;0")=0,"Pendiente GPS",_xlfn.MAXIFS(Datos!$Q$5:$Q$228,Datos!$A$5:$A$228,A62,Datos!$B$5:$B$228,B62,Datos!$M$5:$M$228,1))</f>
        <v>Pendiente GPS</v>
      </c>
      <c r="H62" t="str">
        <f t="shared" si="9"/>
        <v>Movimiento</v>
      </c>
      <c r="I62">
        <f>IF(J62=0,"",SUMIFS(Datos!$F$5:$F$228,Datos!$A$5:$A$228,A62,Datos!$B$5:$B$228,B62,Datos!$M$5:$M$228,1))</f>
        <v>13.3</v>
      </c>
      <c r="J62">
        <f>COUNTIFS(Datos!$A$5:$A$228,A62,Datos!$B$5:$B$228,B62,Datos!$M$5:$M$228,1)</f>
        <v>2</v>
      </c>
    </row>
    <row r="63" spans="1:12">
      <c r="A63" s="5">
        <f>A34</f>
        <v>46277</v>
      </c>
      <c r="B63" t="s">
        <v>33</v>
      </c>
      <c r="C63" t="s">
        <v>8</v>
      </c>
      <c r="D63" s="8">
        <f>IF(J63=0,"",SUMIFS(Datos!$E$5:$E$228,Datos!$A$5:$A$228,A63,Datos!$B$5:$B$228,B63,Datos!$M$5:$M$228,1))</f>
        <v>141</v>
      </c>
      <c r="E63" s="8">
        <f>IF(J63=0,"",SUMIFS(Datos!$G$5:$G$228,Datos!$A$5:$A$228,A63,Datos!$B$5:$B$228,B63,Datos!$M$5:$M$228,1))</f>
        <v>9.3640000000000008</v>
      </c>
      <c r="F63" s="8">
        <f t="shared" si="8"/>
        <v>15.057667663391712</v>
      </c>
      <c r="G63" s="8" t="str">
        <f>IF(COUNTIFS(Datos!$A$5:$A$228,A63,Datos!$B$5:$B$228,B63,Datos!$M$5:$M$228,1,Datos!$Q$5:$Q$228,"&gt;0")=0,"Pendiente GPS",_xlfn.MAXIFS(Datos!$Q$5:$Q$228,Datos!$A$5:$A$228,A63,Datos!$B$5:$B$228,B63,Datos!$M$5:$M$228,1))</f>
        <v>Pendiente GPS</v>
      </c>
      <c r="H63" t="str">
        <f t="shared" si="9"/>
        <v>Movimiento</v>
      </c>
      <c r="I63">
        <f>IF(J63=0,"",SUMIFS(Datos!$F$5:$F$228,Datos!$A$5:$A$228,A63,Datos!$B$5:$B$228,B63,Datos!$M$5:$M$228,1))</f>
        <v>14.2</v>
      </c>
      <c r="J63">
        <f>COUNTIFS(Datos!$A$5:$A$228,A63,Datos!$B$5:$B$228,B63,Datos!$M$5:$M$228,1)</f>
        <v>2</v>
      </c>
    </row>
    <row r="64" spans="1:12">
      <c r="A64" s="5">
        <f>A34</f>
        <v>46277</v>
      </c>
      <c r="B64" t="s">
        <v>34</v>
      </c>
      <c r="C64" t="s">
        <v>8</v>
      </c>
      <c r="D64" s="8">
        <f>IF(J64=0,"",SUMIFS(Datos!$E$5:$E$228,Datos!$A$5:$A$228,A64,Datos!$B$5:$B$228,B64,Datos!$M$5:$M$228,1))</f>
        <v>140</v>
      </c>
      <c r="E64" s="8">
        <f>IF(J64=0,"",SUMIFS(Datos!$G$5:$G$228,Datos!$A$5:$A$228,A64,Datos!$B$5:$B$228,B64,Datos!$M$5:$M$228,1))</f>
        <v>9.3880000000000017</v>
      </c>
      <c r="F64" s="8">
        <f t="shared" si="8"/>
        <v>14.912654452492541</v>
      </c>
      <c r="G64" s="8" t="str">
        <f>IF(COUNTIFS(Datos!$A$5:$A$228,A64,Datos!$B$5:$B$228,B64,Datos!$M$5:$M$228,1,Datos!$Q$5:$Q$228,"&gt;0")=0,"Pendiente GPS",_xlfn.MAXIFS(Datos!$Q$5:$Q$228,Datos!$A$5:$A$228,A64,Datos!$B$5:$B$228,B64,Datos!$M$5:$M$228,1))</f>
        <v>Pendiente GPS</v>
      </c>
      <c r="H64" t="str">
        <f t="shared" si="9"/>
        <v>Movimiento</v>
      </c>
      <c r="I64">
        <f>IF(J64=0,"",SUMIFS(Datos!$F$5:$F$228,Datos!$A$5:$A$228,A64,Datos!$B$5:$B$228,B64,Datos!$M$5:$M$228,1))</f>
        <v>15.1</v>
      </c>
      <c r="J64">
        <f>COUNTIFS(Datos!$A$5:$A$228,A64,Datos!$B$5:$B$228,B64,Datos!$M$5:$M$228,1)</f>
        <v>2</v>
      </c>
    </row>
    <row r="65" spans="1:10">
      <c r="A65" s="5">
        <f>A34</f>
        <v>46277</v>
      </c>
      <c r="B65" t="s">
        <v>35</v>
      </c>
      <c r="C65" t="s">
        <v>36</v>
      </c>
      <c r="D65" s="8" t="str">
        <f>IF(J65=0,"",SUMIFS(Datos!$E$5:$E$228,Datos!$A$5:$A$228,A65,Datos!$B$5:$B$228,B65,Datos!$M$5:$M$228,1))</f>
        <v/>
      </c>
      <c r="E65" s="8" t="str">
        <f>IF(J65=0,"",SUMIFS(Datos!$G$5:$G$228,Datos!$A$5:$A$228,A65,Datos!$B$5:$B$228,B65,Datos!$M$5:$M$228,1))</f>
        <v/>
      </c>
      <c r="F65" s="8" t="str">
        <f t="shared" si="8"/>
        <v/>
      </c>
      <c r="G65" s="8" t="str">
        <f>IF(COUNTIFS(Datos!$A$5:$A$228,A65,Datos!$B$5:$B$228,B65,Datos!$M$5:$M$228,1,Datos!$Q$5:$Q$228,"&gt;0")=0,"Pendiente GPS",_xlfn.MAXIFS(Datos!$Q$5:$Q$228,Datos!$A$5:$A$228,A65,Datos!$B$5:$B$228,B65,Datos!$M$5:$M$228,1))</f>
        <v>Pendiente GPS</v>
      </c>
      <c r="H65" t="str">
        <f t="shared" si="9"/>
        <v>Sin registro</v>
      </c>
      <c r="I65" t="str">
        <f>IF(J65=0,"",SUMIFS(Datos!$F$5:$F$228,Datos!$A$5:$A$228,A65,Datos!$B$5:$B$228,B65,Datos!$M$5:$M$228,1))</f>
        <v/>
      </c>
      <c r="J65">
        <f>COUNTIFS(Datos!$A$5:$A$228,A65,Datos!$B$5:$B$228,B65,Datos!$M$5:$M$228,1)</f>
        <v>0</v>
      </c>
    </row>
    <row r="66" spans="1:10">
      <c r="A66" s="5">
        <f>A34</f>
        <v>46277</v>
      </c>
      <c r="B66" t="s">
        <v>37</v>
      </c>
      <c r="C66" t="s">
        <v>36</v>
      </c>
      <c r="D66" s="8" t="str">
        <f>IF(J66=0,"",SUMIFS(Datos!$E$5:$E$228,Datos!$A$5:$A$228,A66,Datos!$B$5:$B$228,B66,Datos!$M$5:$M$228,1))</f>
        <v/>
      </c>
      <c r="E66" s="8" t="str">
        <f>IF(J66=0,"",SUMIFS(Datos!$G$5:$G$228,Datos!$A$5:$A$228,A66,Datos!$B$5:$B$228,B66,Datos!$M$5:$M$228,1))</f>
        <v/>
      </c>
      <c r="F66" s="8" t="str">
        <f t="shared" si="8"/>
        <v/>
      </c>
      <c r="G66" s="8" t="str">
        <f>IF(COUNTIFS(Datos!$A$5:$A$228,A66,Datos!$B$5:$B$228,B66,Datos!$M$5:$M$228,1,Datos!$Q$5:$Q$228,"&gt;0")=0,"Pendiente GPS",_xlfn.MAXIFS(Datos!$Q$5:$Q$228,Datos!$A$5:$A$228,A66,Datos!$B$5:$B$228,B66,Datos!$M$5:$M$228,1))</f>
        <v>Pendiente GPS</v>
      </c>
      <c r="H66" t="str">
        <f t="shared" si="9"/>
        <v>Sin registro</v>
      </c>
      <c r="I66" t="str">
        <f>IF(J66=0,"",SUMIFS(Datos!$F$5:$F$228,Datos!$A$5:$A$228,A66,Datos!$B$5:$B$228,B66,Datos!$M$5:$M$228,1))</f>
        <v/>
      </c>
      <c r="J66">
        <f>COUNTIFS(Datos!$A$5:$A$228,A66,Datos!$B$5:$B$228,B66,Datos!$M$5:$M$228,1)</f>
        <v>0</v>
      </c>
    </row>
    <row r="67" spans="1:10">
      <c r="A67" s="5">
        <f>A34</f>
        <v>46277</v>
      </c>
      <c r="B67" t="s">
        <v>38</v>
      </c>
      <c r="C67" t="s">
        <v>39</v>
      </c>
      <c r="D67" s="8" t="str">
        <f>IF(J67=0,"",SUMIFS(Datos!$E$5:$E$228,Datos!$A$5:$A$228,A67,Datos!$B$5:$B$228,B67,Datos!$M$5:$M$228,1))</f>
        <v/>
      </c>
      <c r="E67" s="8" t="str">
        <f>IF(J67=0,"",SUMIFS(Datos!$G$5:$G$228,Datos!$A$5:$A$228,A67,Datos!$B$5:$B$228,B67,Datos!$M$5:$M$228,1))</f>
        <v/>
      </c>
      <c r="F67" s="8" t="str">
        <f t="shared" si="8"/>
        <v/>
      </c>
      <c r="G67" s="8" t="str">
        <f>IF(COUNTIFS(Datos!$A$5:$A$228,A67,Datos!$B$5:$B$228,B67,Datos!$M$5:$M$228,1,Datos!$Q$5:$Q$228,"&gt;0")=0,"Pendiente GPS",_xlfn.MAXIFS(Datos!$Q$5:$Q$228,Datos!$A$5:$A$228,A67,Datos!$B$5:$B$228,B67,Datos!$M$5:$M$228,1))</f>
        <v>Pendiente GPS</v>
      </c>
      <c r="H67" t="str">
        <f t="shared" si="9"/>
        <v>Sin registro</v>
      </c>
      <c r="I67" t="str">
        <f>IF(J67=0,"",SUMIFS(Datos!$F$5:$F$228,Datos!$A$5:$A$228,A67,Datos!$B$5:$B$228,B67,Datos!$M$5:$M$228,1))</f>
        <v/>
      </c>
      <c r="J67">
        <f>COUNTIFS(Datos!$A$5:$A$228,A67,Datos!$B$5:$B$228,B67,Datos!$M$5:$M$228,1)</f>
        <v>0</v>
      </c>
    </row>
    <row r="68" spans="1:10">
      <c r="A68" s="5">
        <f>A34</f>
        <v>46277</v>
      </c>
      <c r="B68" t="s">
        <v>40</v>
      </c>
      <c r="C68" t="s">
        <v>41</v>
      </c>
      <c r="D68" s="8" t="str">
        <f>IF(J68=0,"",SUMIFS(Datos!$E$5:$E$228,Datos!$A$5:$A$228,A68,Datos!$B$5:$B$228,B68,Datos!$M$5:$M$228,1))</f>
        <v/>
      </c>
      <c r="E68" s="8" t="str">
        <f>IF(J68=0,"",SUMIFS(Datos!$G$5:$G$228,Datos!$A$5:$A$228,A68,Datos!$B$5:$B$228,B68,Datos!$M$5:$M$228,1))</f>
        <v/>
      </c>
      <c r="F68" s="8" t="str">
        <f t="shared" si="8"/>
        <v/>
      </c>
      <c r="G68" s="8" t="str">
        <f>IF(COUNTIFS(Datos!$A$5:$A$228,A68,Datos!$B$5:$B$228,B68,Datos!$M$5:$M$228,1,Datos!$Q$5:$Q$228,"&gt;0")=0,"Pendiente GPS",_xlfn.MAXIFS(Datos!$Q$5:$Q$228,Datos!$A$5:$A$228,A68,Datos!$B$5:$B$228,B68,Datos!$M$5:$M$228,1))</f>
        <v>Pendiente GPS</v>
      </c>
      <c r="H68" t="str">
        <f t="shared" si="9"/>
        <v>Sin registro</v>
      </c>
      <c r="I68" t="str">
        <f>IF(J68=0,"",SUMIFS(Datos!$F$5:$F$228,Datos!$A$5:$A$228,A68,Datos!$B$5:$B$228,B68,Datos!$M$5:$M$228,1))</f>
        <v/>
      </c>
      <c r="J68">
        <f>COUNTIFS(Datos!$A$5:$A$228,A68,Datos!$B$5:$B$228,B68,Datos!$M$5:$M$228,1)</f>
        <v>0</v>
      </c>
    </row>
    <row r="69" spans="1:10">
      <c r="A69" s="5">
        <f>A35</f>
        <v>46278</v>
      </c>
      <c r="B69" t="s">
        <v>31</v>
      </c>
      <c r="C69" t="s">
        <v>8</v>
      </c>
      <c r="D69" s="8">
        <f>IF(J69=0,"",SUMIFS(Datos!$E$5:$E$228,Datos!$A$5:$A$228,A69,Datos!$B$5:$B$228,B69,Datos!$M$5:$M$228,1))</f>
        <v>122</v>
      </c>
      <c r="E69" s="8">
        <f>IF(J69=0,"",SUMIFS(Datos!$G$5:$G$228,Datos!$A$5:$A$228,A69,Datos!$B$5:$B$228,B69,Datos!$M$5:$M$228,1))</f>
        <v>8.1359999999999992</v>
      </c>
      <c r="F69" s="8">
        <f t="shared" si="8"/>
        <v>14.995083579154377</v>
      </c>
      <c r="G69" s="8" t="str">
        <f>IF(COUNTIFS(Datos!$A$5:$A$228,A69,Datos!$B$5:$B$228,B69,Datos!$M$5:$M$228,1,Datos!$Q$5:$Q$228,"&gt;0")=0,"Pendiente GPS",_xlfn.MAXIFS(Datos!$Q$5:$Q$228,Datos!$A$5:$A$228,A69,Datos!$B$5:$B$228,B69,Datos!$M$5:$M$228,1))</f>
        <v>Pendiente GPS</v>
      </c>
      <c r="H69" t="str">
        <f t="shared" si="9"/>
        <v>Movimiento</v>
      </c>
      <c r="I69">
        <f>IF(J69=0,"",SUMIFS(Datos!$F$5:$F$228,Datos!$A$5:$A$228,A69,Datos!$B$5:$B$228,B69,Datos!$M$5:$M$228,1))</f>
        <v>13.8</v>
      </c>
      <c r="J69">
        <f>COUNTIFS(Datos!$A$5:$A$228,A69,Datos!$B$5:$B$228,B69,Datos!$M$5:$M$228,1)</f>
        <v>2</v>
      </c>
    </row>
    <row r="70" spans="1:10">
      <c r="A70" s="5">
        <f>A35</f>
        <v>46278</v>
      </c>
      <c r="B70" t="s">
        <v>32</v>
      </c>
      <c r="C70" t="s">
        <v>8</v>
      </c>
      <c r="D70" s="8">
        <f>IF(J70=0,"",SUMIFS(Datos!$E$5:$E$228,Datos!$A$5:$A$228,A70,Datos!$B$5:$B$228,B70,Datos!$M$5:$M$228,1))</f>
        <v>145</v>
      </c>
      <c r="E70" s="8">
        <f>IF(J70=0,"",SUMIFS(Datos!$G$5:$G$228,Datos!$A$5:$A$228,A70,Datos!$B$5:$B$228,B70,Datos!$M$5:$M$228,1))</f>
        <v>9.6890000000000001</v>
      </c>
      <c r="F70" s="8">
        <f t="shared" si="8"/>
        <v>14.965424708432243</v>
      </c>
      <c r="G70" s="8" t="str">
        <f>IF(COUNTIFS(Datos!$A$5:$A$228,A70,Datos!$B$5:$B$228,B70,Datos!$M$5:$M$228,1,Datos!$Q$5:$Q$228,"&gt;0")=0,"Pendiente GPS",_xlfn.MAXIFS(Datos!$Q$5:$Q$228,Datos!$A$5:$A$228,A70,Datos!$B$5:$B$228,B70,Datos!$M$5:$M$228,1))</f>
        <v>Pendiente GPS</v>
      </c>
      <c r="H70" t="str">
        <f t="shared" si="9"/>
        <v>Movimiento</v>
      </c>
      <c r="I70">
        <f>IF(J70=0,"",SUMIFS(Datos!$F$5:$F$228,Datos!$A$5:$A$228,A70,Datos!$B$5:$B$228,B70,Datos!$M$5:$M$228,1))</f>
        <v>14.7</v>
      </c>
      <c r="J70">
        <f>COUNTIFS(Datos!$A$5:$A$228,A70,Datos!$B$5:$B$228,B70,Datos!$M$5:$M$228,1)</f>
        <v>2</v>
      </c>
    </row>
    <row r="71" spans="1:10">
      <c r="A71" s="5">
        <f>A35</f>
        <v>46278</v>
      </c>
      <c r="B71" t="s">
        <v>33</v>
      </c>
      <c r="C71" t="s">
        <v>8</v>
      </c>
      <c r="D71" s="8">
        <f>IF(J71=0,"",SUMIFS(Datos!$E$5:$E$228,Datos!$A$5:$A$228,A71,Datos!$B$5:$B$228,B71,Datos!$M$5:$M$228,1))</f>
        <v>123</v>
      </c>
      <c r="E71" s="8">
        <f>IF(J71=0,"",SUMIFS(Datos!$G$5:$G$228,Datos!$A$5:$A$228,A71,Datos!$B$5:$B$228,B71,Datos!$M$5:$M$228,1))</f>
        <v>8.2480000000000011</v>
      </c>
      <c r="F71" s="8">
        <f t="shared" si="8"/>
        <v>14.912706110572257</v>
      </c>
      <c r="G71" s="8" t="str">
        <f>IF(COUNTIFS(Datos!$A$5:$A$228,A71,Datos!$B$5:$B$228,B71,Datos!$M$5:$M$228,1,Datos!$Q$5:$Q$228,"&gt;0")=0,"Pendiente GPS",_xlfn.MAXIFS(Datos!$Q$5:$Q$228,Datos!$A$5:$A$228,A71,Datos!$B$5:$B$228,B71,Datos!$M$5:$M$228,1))</f>
        <v>Pendiente GPS</v>
      </c>
      <c r="H71" t="str">
        <f t="shared" si="9"/>
        <v>Movimiento</v>
      </c>
      <c r="I71">
        <f>IF(J71=0,"",SUMIFS(Datos!$F$5:$F$228,Datos!$A$5:$A$228,A71,Datos!$B$5:$B$228,B71,Datos!$M$5:$M$228,1))</f>
        <v>13.1</v>
      </c>
      <c r="J71">
        <f>COUNTIFS(Datos!$A$5:$A$228,A71,Datos!$B$5:$B$228,B71,Datos!$M$5:$M$228,1)</f>
        <v>2</v>
      </c>
    </row>
    <row r="72" spans="1:10">
      <c r="A72" s="5">
        <f>A35</f>
        <v>46278</v>
      </c>
      <c r="B72" t="s">
        <v>34</v>
      </c>
      <c r="C72" t="s">
        <v>8</v>
      </c>
      <c r="D72" s="8">
        <f>IF(J72=0,"",SUMIFS(Datos!$E$5:$E$228,Datos!$A$5:$A$228,A72,Datos!$B$5:$B$228,B72,Datos!$M$5:$M$228,1))</f>
        <v>123</v>
      </c>
      <c r="E72" s="8">
        <f>IF(J72=0,"",SUMIFS(Datos!$G$5:$G$228,Datos!$A$5:$A$228,A72,Datos!$B$5:$B$228,B72,Datos!$M$5:$M$228,1))</f>
        <v>8.2530000000000001</v>
      </c>
      <c r="F72" s="8">
        <f t="shared" si="8"/>
        <v>14.90367139222101</v>
      </c>
      <c r="G72" s="8" t="str">
        <f>IF(COUNTIFS(Datos!$A$5:$A$228,A72,Datos!$B$5:$B$228,B72,Datos!$M$5:$M$228,1,Datos!$Q$5:$Q$228,"&gt;0")=0,"Pendiente GPS",_xlfn.MAXIFS(Datos!$Q$5:$Q$228,Datos!$A$5:$A$228,A72,Datos!$B$5:$B$228,B72,Datos!$M$5:$M$228,1))</f>
        <v>Pendiente GPS</v>
      </c>
      <c r="H72" t="str">
        <f t="shared" si="9"/>
        <v>Movimiento</v>
      </c>
      <c r="I72">
        <f>IF(J72=0,"",SUMIFS(Datos!$F$5:$F$228,Datos!$A$5:$A$228,A72,Datos!$B$5:$B$228,B72,Datos!$M$5:$M$228,1))</f>
        <v>14</v>
      </c>
      <c r="J72">
        <f>COUNTIFS(Datos!$A$5:$A$228,A72,Datos!$B$5:$B$228,B72,Datos!$M$5:$M$228,1)</f>
        <v>2</v>
      </c>
    </row>
    <row r="73" spans="1:10">
      <c r="A73" s="5">
        <f>A35</f>
        <v>46278</v>
      </c>
      <c r="B73" t="s">
        <v>35</v>
      </c>
      <c r="C73" t="s">
        <v>36</v>
      </c>
      <c r="D73" s="8" t="str">
        <f>IF(J73=0,"",SUMIFS(Datos!$E$5:$E$228,Datos!$A$5:$A$228,A73,Datos!$B$5:$B$228,B73,Datos!$M$5:$M$228,1))</f>
        <v/>
      </c>
      <c r="E73" s="8" t="str">
        <f>IF(J73=0,"",SUMIFS(Datos!$G$5:$G$228,Datos!$A$5:$A$228,A73,Datos!$B$5:$B$228,B73,Datos!$M$5:$M$228,1))</f>
        <v/>
      </c>
      <c r="F73" s="8" t="str">
        <f t="shared" si="8"/>
        <v/>
      </c>
      <c r="G73" s="8" t="str">
        <f>IF(COUNTIFS(Datos!$A$5:$A$228,A73,Datos!$B$5:$B$228,B73,Datos!$M$5:$M$228,1,Datos!$Q$5:$Q$228,"&gt;0")=0,"Pendiente GPS",_xlfn.MAXIFS(Datos!$Q$5:$Q$228,Datos!$A$5:$A$228,A73,Datos!$B$5:$B$228,B73,Datos!$M$5:$M$228,1))</f>
        <v>Pendiente GPS</v>
      </c>
      <c r="H73" t="str">
        <f t="shared" si="9"/>
        <v>Sin registro</v>
      </c>
      <c r="I73" t="str">
        <f>IF(J73=0,"",SUMIFS(Datos!$F$5:$F$228,Datos!$A$5:$A$228,A73,Datos!$B$5:$B$228,B73,Datos!$M$5:$M$228,1))</f>
        <v/>
      </c>
      <c r="J73">
        <f>COUNTIFS(Datos!$A$5:$A$228,A73,Datos!$B$5:$B$228,B73,Datos!$M$5:$M$228,1)</f>
        <v>0</v>
      </c>
    </row>
    <row r="74" spans="1:10">
      <c r="A74" s="5">
        <f>A35</f>
        <v>46278</v>
      </c>
      <c r="B74" t="s">
        <v>37</v>
      </c>
      <c r="C74" t="s">
        <v>36</v>
      </c>
      <c r="D74" s="8" t="str">
        <f>IF(J74=0,"",SUMIFS(Datos!$E$5:$E$228,Datos!$A$5:$A$228,A74,Datos!$B$5:$B$228,B74,Datos!$M$5:$M$228,1))</f>
        <v/>
      </c>
      <c r="E74" s="8" t="str">
        <f>IF(J74=0,"",SUMIFS(Datos!$G$5:$G$228,Datos!$A$5:$A$228,A74,Datos!$B$5:$B$228,B74,Datos!$M$5:$M$228,1))</f>
        <v/>
      </c>
      <c r="F74" s="8" t="str">
        <f t="shared" si="8"/>
        <v/>
      </c>
      <c r="G74" s="8" t="str">
        <f>IF(COUNTIFS(Datos!$A$5:$A$228,A74,Datos!$B$5:$B$228,B74,Datos!$M$5:$M$228,1,Datos!$Q$5:$Q$228,"&gt;0")=0,"Pendiente GPS",_xlfn.MAXIFS(Datos!$Q$5:$Q$228,Datos!$A$5:$A$228,A74,Datos!$B$5:$B$228,B74,Datos!$M$5:$M$228,1))</f>
        <v>Pendiente GPS</v>
      </c>
      <c r="H74" t="str">
        <f t="shared" si="9"/>
        <v>Sin registro</v>
      </c>
      <c r="I74" t="str">
        <f>IF(J74=0,"",SUMIFS(Datos!$F$5:$F$228,Datos!$A$5:$A$228,A74,Datos!$B$5:$B$228,B74,Datos!$M$5:$M$228,1))</f>
        <v/>
      </c>
      <c r="J74">
        <f>COUNTIFS(Datos!$A$5:$A$228,A74,Datos!$B$5:$B$228,B74,Datos!$M$5:$M$228,1)</f>
        <v>0</v>
      </c>
    </row>
    <row r="75" spans="1:10">
      <c r="A75" s="5">
        <f>A35</f>
        <v>46278</v>
      </c>
      <c r="B75" t="s">
        <v>38</v>
      </c>
      <c r="C75" t="s">
        <v>39</v>
      </c>
      <c r="D75" s="8" t="str">
        <f>IF(J75=0,"",SUMIFS(Datos!$E$5:$E$228,Datos!$A$5:$A$228,A75,Datos!$B$5:$B$228,B75,Datos!$M$5:$M$228,1))</f>
        <v/>
      </c>
      <c r="E75" s="8" t="str">
        <f>IF(J75=0,"",SUMIFS(Datos!$G$5:$G$228,Datos!$A$5:$A$228,A75,Datos!$B$5:$B$228,B75,Datos!$M$5:$M$228,1))</f>
        <v/>
      </c>
      <c r="F75" s="8" t="str">
        <f t="shared" si="8"/>
        <v/>
      </c>
      <c r="G75" s="8" t="str">
        <f>IF(COUNTIFS(Datos!$A$5:$A$228,A75,Datos!$B$5:$B$228,B75,Datos!$M$5:$M$228,1,Datos!$Q$5:$Q$228,"&gt;0")=0,"Pendiente GPS",_xlfn.MAXIFS(Datos!$Q$5:$Q$228,Datos!$A$5:$A$228,A75,Datos!$B$5:$B$228,B75,Datos!$M$5:$M$228,1))</f>
        <v>Pendiente GPS</v>
      </c>
      <c r="H75" t="str">
        <f t="shared" si="9"/>
        <v>Sin registro</v>
      </c>
      <c r="I75" t="str">
        <f>IF(J75=0,"",SUMIFS(Datos!$F$5:$F$228,Datos!$A$5:$A$228,A75,Datos!$B$5:$B$228,B75,Datos!$M$5:$M$228,1))</f>
        <v/>
      </c>
      <c r="J75">
        <f>COUNTIFS(Datos!$A$5:$A$228,A75,Datos!$B$5:$B$228,B75,Datos!$M$5:$M$228,1)</f>
        <v>0</v>
      </c>
    </row>
    <row r="76" spans="1:10">
      <c r="A76" s="5">
        <f>A35</f>
        <v>46278</v>
      </c>
      <c r="B76" t="s">
        <v>40</v>
      </c>
      <c r="C76" t="s">
        <v>41</v>
      </c>
      <c r="D76" s="8" t="str">
        <f>IF(J76=0,"",SUMIFS(Datos!$E$5:$E$228,Datos!$A$5:$A$228,A76,Datos!$B$5:$B$228,B76,Datos!$M$5:$M$228,1))</f>
        <v/>
      </c>
      <c r="E76" s="8" t="str">
        <f>IF(J76=0,"",SUMIFS(Datos!$G$5:$G$228,Datos!$A$5:$A$228,A76,Datos!$B$5:$B$228,B76,Datos!$M$5:$M$228,1))</f>
        <v/>
      </c>
      <c r="F76" s="8" t="str">
        <f t="shared" si="8"/>
        <v/>
      </c>
      <c r="G76" s="8" t="str">
        <f>IF(COUNTIFS(Datos!$A$5:$A$228,A76,Datos!$B$5:$B$228,B76,Datos!$M$5:$M$228,1,Datos!$Q$5:$Q$228,"&gt;0")=0,"Pendiente GPS",_xlfn.MAXIFS(Datos!$Q$5:$Q$228,Datos!$A$5:$A$228,A76,Datos!$B$5:$B$228,B76,Datos!$M$5:$M$228,1))</f>
        <v>Pendiente GPS</v>
      </c>
      <c r="H76" t="str">
        <f t="shared" si="9"/>
        <v>Sin registro</v>
      </c>
      <c r="I76" t="str">
        <f>IF(J76=0,"",SUMIFS(Datos!$F$5:$F$228,Datos!$A$5:$A$228,A76,Datos!$B$5:$B$228,B76,Datos!$M$5:$M$228,1))</f>
        <v/>
      </c>
      <c r="J76">
        <f>COUNTIFS(Datos!$A$5:$A$228,A76,Datos!$B$5:$B$228,B76,Datos!$M$5:$M$228,1)</f>
        <v>0</v>
      </c>
    </row>
    <row r="77" spans="1:10">
      <c r="A77" s="5">
        <f>A36</f>
        <v>46279</v>
      </c>
      <c r="B77" t="s">
        <v>31</v>
      </c>
      <c r="C77" t="s">
        <v>8</v>
      </c>
      <c r="D77" s="8">
        <f>IF(J77=0,"",SUMIFS(Datos!$E$5:$E$228,Datos!$A$5:$A$228,A77,Datos!$B$5:$B$228,B77,Datos!$M$5:$M$228,1))</f>
        <v>150</v>
      </c>
      <c r="E77" s="8">
        <f>IF(J77=0,"",SUMIFS(Datos!$G$5:$G$228,Datos!$A$5:$A$228,A77,Datos!$B$5:$B$228,B77,Datos!$M$5:$M$228,1))</f>
        <v>10.019000000000002</v>
      </c>
      <c r="F77" s="8">
        <f t="shared" si="8"/>
        <v>14.971554047310107</v>
      </c>
      <c r="G77" s="8" t="str">
        <f>IF(COUNTIFS(Datos!$A$5:$A$228,A77,Datos!$B$5:$B$228,B77,Datos!$M$5:$M$228,1,Datos!$Q$5:$Q$228,"&gt;0")=0,"Pendiente GPS",_xlfn.MAXIFS(Datos!$Q$5:$Q$228,Datos!$A$5:$A$228,A77,Datos!$B$5:$B$228,B77,Datos!$M$5:$M$228,1))</f>
        <v>Pendiente GPS</v>
      </c>
      <c r="H77" t="str">
        <f t="shared" si="9"/>
        <v>Movimiento</v>
      </c>
      <c r="I77">
        <f>IF(J77=0,"",SUMIFS(Datos!$F$5:$F$228,Datos!$A$5:$A$228,A77,Datos!$B$5:$B$228,B77,Datos!$M$5:$M$228,1))</f>
        <v>15.200000000000001</v>
      </c>
      <c r="J77">
        <f>COUNTIFS(Datos!$A$5:$A$228,A77,Datos!$B$5:$B$228,B77,Datos!$M$5:$M$228,1)</f>
        <v>2</v>
      </c>
    </row>
    <row r="78" spans="1:10">
      <c r="A78" s="5">
        <f>A36</f>
        <v>46279</v>
      </c>
      <c r="B78" t="s">
        <v>32</v>
      </c>
      <c r="C78" t="s">
        <v>8</v>
      </c>
      <c r="D78" s="8">
        <f>IF(J78=0,"",SUMIFS(Datos!$E$5:$E$228,Datos!$A$5:$A$228,A78,Datos!$B$5:$B$228,B78,Datos!$M$5:$M$228,1))</f>
        <v>128</v>
      </c>
      <c r="E78" s="8">
        <f>IF(J78=0,"",SUMIFS(Datos!$G$5:$G$228,Datos!$A$5:$A$228,A78,Datos!$B$5:$B$228,B78,Datos!$M$5:$M$228,1))</f>
        <v>8.5630000000000006</v>
      </c>
      <c r="F78" s="8">
        <f t="shared" si="8"/>
        <v>14.948032231694498</v>
      </c>
      <c r="G78" s="8" t="str">
        <f>IF(COUNTIFS(Datos!$A$5:$A$228,A78,Datos!$B$5:$B$228,B78,Datos!$M$5:$M$228,1,Datos!$Q$5:$Q$228,"&gt;0")=0,"Pendiente GPS",_xlfn.MAXIFS(Datos!$Q$5:$Q$228,Datos!$A$5:$A$228,A78,Datos!$B$5:$B$228,B78,Datos!$M$5:$M$228,1))</f>
        <v>Pendiente GPS</v>
      </c>
      <c r="H78" t="str">
        <f t="shared" si="9"/>
        <v>Movimiento</v>
      </c>
      <c r="I78">
        <f>IF(J78=0,"",SUMIFS(Datos!$F$5:$F$228,Datos!$A$5:$A$228,A78,Datos!$B$5:$B$228,B78,Datos!$M$5:$M$228,1))</f>
        <v>13.6</v>
      </c>
      <c r="J78">
        <f>COUNTIFS(Datos!$A$5:$A$228,A78,Datos!$B$5:$B$228,B78,Datos!$M$5:$M$228,1)</f>
        <v>2</v>
      </c>
    </row>
    <row r="79" spans="1:10">
      <c r="A79" s="5">
        <f>A36</f>
        <v>46279</v>
      </c>
      <c r="B79" t="s">
        <v>33</v>
      </c>
      <c r="C79" t="s">
        <v>8</v>
      </c>
      <c r="D79" s="8">
        <f>IF(J79=0,"",SUMIFS(Datos!$E$5:$E$228,Datos!$A$5:$A$228,A79,Datos!$B$5:$B$228,B79,Datos!$M$5:$M$228,1))</f>
        <v>128</v>
      </c>
      <c r="E79" s="8">
        <f>IF(J79=0,"",SUMIFS(Datos!$G$5:$G$228,Datos!$A$5:$A$228,A79,Datos!$B$5:$B$228,B79,Datos!$M$5:$M$228,1))</f>
        <v>8.5779999999999994</v>
      </c>
      <c r="F79" s="8">
        <f t="shared" si="8"/>
        <v>14.921893215201679</v>
      </c>
      <c r="G79" s="8" t="str">
        <f>IF(COUNTIFS(Datos!$A$5:$A$228,A79,Datos!$B$5:$B$228,B79,Datos!$M$5:$M$228,1,Datos!$Q$5:$Q$228,"&gt;0")=0,"Pendiente GPS",_xlfn.MAXIFS(Datos!$Q$5:$Q$228,Datos!$A$5:$A$228,A79,Datos!$B$5:$B$228,B79,Datos!$M$5:$M$228,1))</f>
        <v>Pendiente GPS</v>
      </c>
      <c r="H79" t="str">
        <f t="shared" si="9"/>
        <v>Movimiento</v>
      </c>
      <c r="I79">
        <f>IF(J79=0,"",SUMIFS(Datos!$F$5:$F$228,Datos!$A$5:$A$228,A79,Datos!$B$5:$B$228,B79,Datos!$M$5:$M$228,1))</f>
        <v>14.5</v>
      </c>
      <c r="J79">
        <f>COUNTIFS(Datos!$A$5:$A$228,A79,Datos!$B$5:$B$228,B79,Datos!$M$5:$M$228,1)</f>
        <v>2</v>
      </c>
    </row>
    <row r="80" spans="1:10">
      <c r="A80" s="5">
        <f>A36</f>
        <v>46279</v>
      </c>
      <c r="B80" t="s">
        <v>34</v>
      </c>
      <c r="C80" t="s">
        <v>8</v>
      </c>
      <c r="D80" s="8">
        <f>IF(J80=0,"",SUMIFS(Datos!$E$5:$E$228,Datos!$A$5:$A$228,A80,Datos!$B$5:$B$228,B80,Datos!$M$5:$M$228,1))</f>
        <v>132</v>
      </c>
      <c r="E80" s="8">
        <f>IF(J80=0,"",SUMIFS(Datos!$G$5:$G$228,Datos!$A$5:$A$228,A80,Datos!$B$5:$B$228,B80,Datos!$M$5:$M$228,1))</f>
        <v>8.7639999999999993</v>
      </c>
      <c r="F80" s="8">
        <f t="shared" si="8"/>
        <v>15.061615700593338</v>
      </c>
      <c r="G80" s="8" t="str">
        <f>IF(COUNTIFS(Datos!$A$5:$A$228,A80,Datos!$B$5:$B$228,B80,Datos!$M$5:$M$228,1,Datos!$Q$5:$Q$228,"&gt;0")=0,"Pendiente GPS",_xlfn.MAXIFS(Datos!$Q$5:$Q$228,Datos!$A$5:$A$228,A80,Datos!$B$5:$B$228,B80,Datos!$M$5:$M$228,1))</f>
        <v>Pendiente GPS</v>
      </c>
      <c r="H80" t="str">
        <f t="shared" si="9"/>
        <v>Movimiento</v>
      </c>
      <c r="I80">
        <f>IF(J80=0,"",SUMIFS(Datos!$F$5:$F$228,Datos!$A$5:$A$228,A80,Datos!$B$5:$B$228,B80,Datos!$M$5:$M$228,1))</f>
        <v>15.4</v>
      </c>
      <c r="J80">
        <f>COUNTIFS(Datos!$A$5:$A$228,A80,Datos!$B$5:$B$228,B80,Datos!$M$5:$M$228,1)</f>
        <v>2</v>
      </c>
    </row>
    <row r="81" spans="1:10">
      <c r="A81" s="5">
        <f>A36</f>
        <v>46279</v>
      </c>
      <c r="B81" t="s">
        <v>35</v>
      </c>
      <c r="C81" t="s">
        <v>36</v>
      </c>
      <c r="D81" s="8" t="str">
        <f>IF(J81=0,"",SUMIFS(Datos!$E$5:$E$228,Datos!$A$5:$A$228,A81,Datos!$B$5:$B$228,B81,Datos!$M$5:$M$228,1))</f>
        <v/>
      </c>
      <c r="E81" s="8" t="str">
        <f>IF(J81=0,"",SUMIFS(Datos!$G$5:$G$228,Datos!$A$5:$A$228,A81,Datos!$B$5:$B$228,B81,Datos!$M$5:$M$228,1))</f>
        <v/>
      </c>
      <c r="F81" s="8" t="str">
        <f t="shared" si="8"/>
        <v/>
      </c>
      <c r="G81" s="8" t="str">
        <f>IF(COUNTIFS(Datos!$A$5:$A$228,A81,Datos!$B$5:$B$228,B81,Datos!$M$5:$M$228,1,Datos!$Q$5:$Q$228,"&gt;0")=0,"Pendiente GPS",_xlfn.MAXIFS(Datos!$Q$5:$Q$228,Datos!$A$5:$A$228,A81,Datos!$B$5:$B$228,B81,Datos!$M$5:$M$228,1))</f>
        <v>Pendiente GPS</v>
      </c>
      <c r="H81" t="str">
        <f t="shared" si="9"/>
        <v>Sin registro</v>
      </c>
      <c r="I81" t="str">
        <f>IF(J81=0,"",SUMIFS(Datos!$F$5:$F$228,Datos!$A$5:$A$228,A81,Datos!$B$5:$B$228,B81,Datos!$M$5:$M$228,1))</f>
        <v/>
      </c>
      <c r="J81">
        <f>COUNTIFS(Datos!$A$5:$A$228,A81,Datos!$B$5:$B$228,B81,Datos!$M$5:$M$228,1)</f>
        <v>0</v>
      </c>
    </row>
    <row r="82" spans="1:10">
      <c r="A82" s="5">
        <f>A36</f>
        <v>46279</v>
      </c>
      <c r="B82" t="s">
        <v>37</v>
      </c>
      <c r="C82" t="s">
        <v>36</v>
      </c>
      <c r="D82" s="8" t="str">
        <f>IF(J82=0,"",SUMIFS(Datos!$E$5:$E$228,Datos!$A$5:$A$228,A82,Datos!$B$5:$B$228,B82,Datos!$M$5:$M$228,1))</f>
        <v/>
      </c>
      <c r="E82" s="8" t="str">
        <f>IF(J82=0,"",SUMIFS(Datos!$G$5:$G$228,Datos!$A$5:$A$228,A82,Datos!$B$5:$B$228,B82,Datos!$M$5:$M$228,1))</f>
        <v/>
      </c>
      <c r="F82" s="8" t="str">
        <f t="shared" si="8"/>
        <v/>
      </c>
      <c r="G82" s="8" t="str">
        <f>IF(COUNTIFS(Datos!$A$5:$A$228,A82,Datos!$B$5:$B$228,B82,Datos!$M$5:$M$228,1,Datos!$Q$5:$Q$228,"&gt;0")=0,"Pendiente GPS",_xlfn.MAXIFS(Datos!$Q$5:$Q$228,Datos!$A$5:$A$228,A82,Datos!$B$5:$B$228,B82,Datos!$M$5:$M$228,1))</f>
        <v>Pendiente GPS</v>
      </c>
      <c r="H82" t="str">
        <f t="shared" si="9"/>
        <v>Sin registro</v>
      </c>
      <c r="I82" t="str">
        <f>IF(J82=0,"",SUMIFS(Datos!$F$5:$F$228,Datos!$A$5:$A$228,A82,Datos!$B$5:$B$228,B82,Datos!$M$5:$M$228,1))</f>
        <v/>
      </c>
      <c r="J82">
        <f>COUNTIFS(Datos!$A$5:$A$228,A82,Datos!$B$5:$B$228,B82,Datos!$M$5:$M$228,1)</f>
        <v>0</v>
      </c>
    </row>
    <row r="83" spans="1:10">
      <c r="A83" s="5">
        <f>A36</f>
        <v>46279</v>
      </c>
      <c r="B83" t="s">
        <v>38</v>
      </c>
      <c r="C83" t="s">
        <v>39</v>
      </c>
      <c r="D83" s="8" t="str">
        <f>IF(J83=0,"",SUMIFS(Datos!$E$5:$E$228,Datos!$A$5:$A$228,A83,Datos!$B$5:$B$228,B83,Datos!$M$5:$M$228,1))</f>
        <v/>
      </c>
      <c r="E83" s="8" t="str">
        <f>IF(J83=0,"",SUMIFS(Datos!$G$5:$G$228,Datos!$A$5:$A$228,A83,Datos!$B$5:$B$228,B83,Datos!$M$5:$M$228,1))</f>
        <v/>
      </c>
      <c r="F83" s="8" t="str">
        <f t="shared" si="8"/>
        <v/>
      </c>
      <c r="G83" s="8" t="str">
        <f>IF(COUNTIFS(Datos!$A$5:$A$228,A83,Datos!$B$5:$B$228,B83,Datos!$M$5:$M$228,1,Datos!$Q$5:$Q$228,"&gt;0")=0,"Pendiente GPS",_xlfn.MAXIFS(Datos!$Q$5:$Q$228,Datos!$A$5:$A$228,A83,Datos!$B$5:$B$228,B83,Datos!$M$5:$M$228,1))</f>
        <v>Pendiente GPS</v>
      </c>
      <c r="H83" t="str">
        <f t="shared" si="9"/>
        <v>Sin registro</v>
      </c>
      <c r="I83" t="str">
        <f>IF(J83=0,"",SUMIFS(Datos!$F$5:$F$228,Datos!$A$5:$A$228,A83,Datos!$B$5:$B$228,B83,Datos!$M$5:$M$228,1))</f>
        <v/>
      </c>
      <c r="J83">
        <f>COUNTIFS(Datos!$A$5:$A$228,A83,Datos!$B$5:$B$228,B83,Datos!$M$5:$M$228,1)</f>
        <v>0</v>
      </c>
    </row>
    <row r="84" spans="1:10">
      <c r="A84" s="5">
        <f>A36</f>
        <v>46279</v>
      </c>
      <c r="B84" t="s">
        <v>40</v>
      </c>
      <c r="C84" t="s">
        <v>41</v>
      </c>
      <c r="D84" s="8" t="str">
        <f>IF(J84=0,"",SUMIFS(Datos!$E$5:$E$228,Datos!$A$5:$A$228,A84,Datos!$B$5:$B$228,B84,Datos!$M$5:$M$228,1))</f>
        <v/>
      </c>
      <c r="E84" s="8" t="str">
        <f>IF(J84=0,"",SUMIFS(Datos!$G$5:$G$228,Datos!$A$5:$A$228,A84,Datos!$B$5:$B$228,B84,Datos!$M$5:$M$228,1))</f>
        <v/>
      </c>
      <c r="F84" s="8" t="str">
        <f t="shared" si="8"/>
        <v/>
      </c>
      <c r="G84" s="8" t="str">
        <f>IF(COUNTIFS(Datos!$A$5:$A$228,A84,Datos!$B$5:$B$228,B84,Datos!$M$5:$M$228,1,Datos!$Q$5:$Q$228,"&gt;0")=0,"Pendiente GPS",_xlfn.MAXIFS(Datos!$Q$5:$Q$228,Datos!$A$5:$A$228,A84,Datos!$B$5:$B$228,B84,Datos!$M$5:$M$228,1))</f>
        <v>Pendiente GPS</v>
      </c>
      <c r="H84" t="str">
        <f t="shared" si="9"/>
        <v>Sin registro</v>
      </c>
      <c r="I84" t="str">
        <f>IF(J84=0,"",SUMIFS(Datos!$F$5:$F$228,Datos!$A$5:$A$228,A84,Datos!$B$5:$B$228,B84,Datos!$M$5:$M$228,1))</f>
        <v/>
      </c>
      <c r="J84">
        <f>COUNTIFS(Datos!$A$5:$A$228,A84,Datos!$B$5:$B$228,B84,Datos!$M$5:$M$228,1)</f>
        <v>0</v>
      </c>
    </row>
    <row r="85" spans="1:10">
      <c r="A85" s="5">
        <f>A37</f>
        <v>46280</v>
      </c>
      <c r="B85" t="s">
        <v>31</v>
      </c>
      <c r="C85" t="s">
        <v>8</v>
      </c>
      <c r="D85" s="8">
        <f>IF(J85=0,"",SUMIFS(Datos!$E$5:$E$228,Datos!$A$5:$A$228,A85,Datos!$B$5:$B$228,B85,Datos!$M$5:$M$228,1))</f>
        <v>134</v>
      </c>
      <c r="E85" s="8">
        <f>IF(J85=0,"",SUMIFS(Datos!$G$5:$G$228,Datos!$A$5:$A$228,A85,Datos!$B$5:$B$228,B85,Datos!$M$5:$M$228,1))</f>
        <v>8.8730000000000011</v>
      </c>
      <c r="F85" s="8">
        <f t="shared" ref="F85:F116" si="10">IF(OR(J85=0,E85=0),"",D85/E85)</f>
        <v>15.101994815733121</v>
      </c>
      <c r="G85" s="8" t="str">
        <f>IF(COUNTIFS(Datos!$A$5:$A$228,A85,Datos!$B$5:$B$228,B85,Datos!$M$5:$M$228,1,Datos!$Q$5:$Q$228,"&gt;0")=0,"Pendiente GPS",_xlfn.MAXIFS(Datos!$Q$5:$Q$228,Datos!$A$5:$A$228,A85,Datos!$B$5:$B$228,B85,Datos!$M$5:$M$228,1))</f>
        <v>Pendiente GPS</v>
      </c>
      <c r="H85" t="str">
        <f t="shared" ref="H85:H116" si="11">IF(J85=0,"Sin registro",IF(E85&gt;0,"Movimiento",IF(I85&gt;0,"Stand by*","Sin actividad")))</f>
        <v>Movimiento</v>
      </c>
      <c r="I85">
        <f>IF(J85=0,"",SUMIFS(Datos!$F$5:$F$228,Datos!$A$5:$A$228,A85,Datos!$B$5:$B$228,B85,Datos!$M$5:$M$228,1))</f>
        <v>14.1</v>
      </c>
      <c r="J85">
        <f>COUNTIFS(Datos!$A$5:$A$228,A85,Datos!$B$5:$B$228,B85,Datos!$M$5:$M$228,1)</f>
        <v>2</v>
      </c>
    </row>
    <row r="86" spans="1:10">
      <c r="A86" s="5">
        <f>A37</f>
        <v>46280</v>
      </c>
      <c r="B86" t="s">
        <v>32</v>
      </c>
      <c r="C86" t="s">
        <v>8</v>
      </c>
      <c r="D86" s="8">
        <f>IF(J86=0,"",SUMIFS(Datos!$E$5:$E$228,Datos!$A$5:$A$228,A86,Datos!$B$5:$B$228,B86,Datos!$M$5:$M$228,1))</f>
        <v>132</v>
      </c>
      <c r="E86" s="8">
        <f>IF(J86=0,"",SUMIFS(Datos!$G$5:$G$228,Datos!$A$5:$A$228,A86,Datos!$B$5:$B$228,B86,Datos!$M$5:$M$228,1))</f>
        <v>8.847999999999999</v>
      </c>
      <c r="F86" s="8">
        <f t="shared" si="10"/>
        <v>14.918625678119351</v>
      </c>
      <c r="G86" s="8" t="str">
        <f>IF(COUNTIFS(Datos!$A$5:$A$228,A86,Datos!$B$5:$B$228,B86,Datos!$M$5:$M$228,1,Datos!$Q$5:$Q$228,"&gt;0")=0,"Pendiente GPS",_xlfn.MAXIFS(Datos!$Q$5:$Q$228,Datos!$A$5:$A$228,A86,Datos!$B$5:$B$228,B86,Datos!$M$5:$M$228,1))</f>
        <v>Pendiente GPS</v>
      </c>
      <c r="H86" t="str">
        <f t="shared" si="11"/>
        <v>Movimiento</v>
      </c>
      <c r="I86">
        <f>IF(J86=0,"",SUMIFS(Datos!$F$5:$F$228,Datos!$A$5:$A$228,A86,Datos!$B$5:$B$228,B86,Datos!$M$5:$M$228,1))</f>
        <v>15</v>
      </c>
      <c r="J86">
        <f>COUNTIFS(Datos!$A$5:$A$228,A86,Datos!$B$5:$B$228,B86,Datos!$M$5:$M$228,1)</f>
        <v>2</v>
      </c>
    </row>
    <row r="87" spans="1:10">
      <c r="A87" s="5">
        <f>A37</f>
        <v>46280</v>
      </c>
      <c r="B87" t="s">
        <v>33</v>
      </c>
      <c r="C87" t="s">
        <v>8</v>
      </c>
      <c r="D87" s="8">
        <f>IF(J87=0,"",SUMIFS(Datos!$E$5:$E$228,Datos!$A$5:$A$228,A87,Datos!$B$5:$B$228,B87,Datos!$M$5:$M$228,1))</f>
        <v>135</v>
      </c>
      <c r="E87" s="8">
        <f>IF(J87=0,"",SUMIFS(Datos!$G$5:$G$228,Datos!$A$5:$A$228,A87,Datos!$B$5:$B$228,B87,Datos!$M$5:$M$228,1))</f>
        <v>8.9740000000000002</v>
      </c>
      <c r="F87" s="8">
        <f t="shared" si="10"/>
        <v>15.043458881212391</v>
      </c>
      <c r="G87" s="8" t="str">
        <f>IF(COUNTIFS(Datos!$A$5:$A$228,A87,Datos!$B$5:$B$228,B87,Datos!$M$5:$M$228,1,Datos!$Q$5:$Q$228,"&gt;0")=0,"Pendiente GPS",_xlfn.MAXIFS(Datos!$Q$5:$Q$228,Datos!$A$5:$A$228,A87,Datos!$B$5:$B$228,B87,Datos!$M$5:$M$228,1))</f>
        <v>Pendiente GPS</v>
      </c>
      <c r="H87" t="str">
        <f t="shared" si="11"/>
        <v>Movimiento</v>
      </c>
      <c r="I87">
        <f>IF(J87=0,"",SUMIFS(Datos!$F$5:$F$228,Datos!$A$5:$A$228,A87,Datos!$B$5:$B$228,B87,Datos!$M$5:$M$228,1))</f>
        <v>13.4</v>
      </c>
      <c r="J87">
        <f>COUNTIFS(Datos!$A$5:$A$228,A87,Datos!$B$5:$B$228,B87,Datos!$M$5:$M$228,1)</f>
        <v>2</v>
      </c>
    </row>
    <row r="88" spans="1:10">
      <c r="A88" s="5">
        <f>A37</f>
        <v>46280</v>
      </c>
      <c r="B88" t="s">
        <v>34</v>
      </c>
      <c r="C88" t="s">
        <v>8</v>
      </c>
      <c r="D88" s="8">
        <f>IF(J88=0,"",SUMIFS(Datos!$E$5:$E$228,Datos!$A$5:$A$228,A88,Datos!$B$5:$B$228,B88,Datos!$M$5:$M$228,1))</f>
        <v>135</v>
      </c>
      <c r="E88" s="8">
        <f>IF(J88=0,"",SUMIFS(Datos!$G$5:$G$228,Datos!$A$5:$A$228,A88,Datos!$B$5:$B$228,B88,Datos!$M$5:$M$228,1))</f>
        <v>9.0310000000000024</v>
      </c>
      <c r="F88" s="8">
        <f t="shared" si="10"/>
        <v>14.948510685416894</v>
      </c>
      <c r="G88" s="8" t="str">
        <f>IF(COUNTIFS(Datos!$A$5:$A$228,A88,Datos!$B$5:$B$228,B88,Datos!$M$5:$M$228,1,Datos!$Q$5:$Q$228,"&gt;0")=0,"Pendiente GPS",_xlfn.MAXIFS(Datos!$Q$5:$Q$228,Datos!$A$5:$A$228,A88,Datos!$B$5:$B$228,B88,Datos!$M$5:$M$228,1))</f>
        <v>Pendiente GPS</v>
      </c>
      <c r="H88" t="str">
        <f t="shared" si="11"/>
        <v>Movimiento</v>
      </c>
      <c r="I88">
        <f>IF(J88=0,"",SUMIFS(Datos!$F$5:$F$228,Datos!$A$5:$A$228,A88,Datos!$B$5:$B$228,B88,Datos!$M$5:$M$228,1))</f>
        <v>14.3</v>
      </c>
      <c r="J88">
        <f>COUNTIFS(Datos!$A$5:$A$228,A88,Datos!$B$5:$B$228,B88,Datos!$M$5:$M$228,1)</f>
        <v>2</v>
      </c>
    </row>
    <row r="89" spans="1:10">
      <c r="A89" s="5">
        <f>A37</f>
        <v>46280</v>
      </c>
      <c r="B89" t="s">
        <v>35</v>
      </c>
      <c r="C89" t="s">
        <v>36</v>
      </c>
      <c r="D89" s="8" t="str">
        <f>IF(J89=0,"",SUMIFS(Datos!$E$5:$E$228,Datos!$A$5:$A$228,A89,Datos!$B$5:$B$228,B89,Datos!$M$5:$M$228,1))</f>
        <v/>
      </c>
      <c r="E89" s="8" t="str">
        <f>IF(J89=0,"",SUMIFS(Datos!$G$5:$G$228,Datos!$A$5:$A$228,A89,Datos!$B$5:$B$228,B89,Datos!$M$5:$M$228,1))</f>
        <v/>
      </c>
      <c r="F89" s="8" t="str">
        <f t="shared" si="10"/>
        <v/>
      </c>
      <c r="G89" s="8" t="str">
        <f>IF(COUNTIFS(Datos!$A$5:$A$228,A89,Datos!$B$5:$B$228,B89,Datos!$M$5:$M$228,1,Datos!$Q$5:$Q$228,"&gt;0")=0,"Pendiente GPS",_xlfn.MAXIFS(Datos!$Q$5:$Q$228,Datos!$A$5:$A$228,A89,Datos!$B$5:$B$228,B89,Datos!$M$5:$M$228,1))</f>
        <v>Pendiente GPS</v>
      </c>
      <c r="H89" t="str">
        <f t="shared" si="11"/>
        <v>Sin registro</v>
      </c>
      <c r="I89" t="str">
        <f>IF(J89=0,"",SUMIFS(Datos!$F$5:$F$228,Datos!$A$5:$A$228,A89,Datos!$B$5:$B$228,B89,Datos!$M$5:$M$228,1))</f>
        <v/>
      </c>
      <c r="J89">
        <f>COUNTIFS(Datos!$A$5:$A$228,A89,Datos!$B$5:$B$228,B89,Datos!$M$5:$M$228,1)</f>
        <v>0</v>
      </c>
    </row>
    <row r="90" spans="1:10">
      <c r="A90" s="5">
        <f>A37</f>
        <v>46280</v>
      </c>
      <c r="B90" t="s">
        <v>37</v>
      </c>
      <c r="C90" t="s">
        <v>36</v>
      </c>
      <c r="D90" s="8" t="str">
        <f>IF(J90=0,"",SUMIFS(Datos!$E$5:$E$228,Datos!$A$5:$A$228,A90,Datos!$B$5:$B$228,B90,Datos!$M$5:$M$228,1))</f>
        <v/>
      </c>
      <c r="E90" s="8" t="str">
        <f>IF(J90=0,"",SUMIFS(Datos!$G$5:$G$228,Datos!$A$5:$A$228,A90,Datos!$B$5:$B$228,B90,Datos!$M$5:$M$228,1))</f>
        <v/>
      </c>
      <c r="F90" s="8" t="str">
        <f t="shared" si="10"/>
        <v/>
      </c>
      <c r="G90" s="8" t="str">
        <f>IF(COUNTIFS(Datos!$A$5:$A$228,A90,Datos!$B$5:$B$228,B90,Datos!$M$5:$M$228,1,Datos!$Q$5:$Q$228,"&gt;0")=0,"Pendiente GPS",_xlfn.MAXIFS(Datos!$Q$5:$Q$228,Datos!$A$5:$A$228,A90,Datos!$B$5:$B$228,B90,Datos!$M$5:$M$228,1))</f>
        <v>Pendiente GPS</v>
      </c>
      <c r="H90" t="str">
        <f t="shared" si="11"/>
        <v>Sin registro</v>
      </c>
      <c r="I90" t="str">
        <f>IF(J90=0,"",SUMIFS(Datos!$F$5:$F$228,Datos!$A$5:$A$228,A90,Datos!$B$5:$B$228,B90,Datos!$M$5:$M$228,1))</f>
        <v/>
      </c>
      <c r="J90">
        <f>COUNTIFS(Datos!$A$5:$A$228,A90,Datos!$B$5:$B$228,B90,Datos!$M$5:$M$228,1)</f>
        <v>0</v>
      </c>
    </row>
    <row r="91" spans="1:10">
      <c r="A91" s="5">
        <f>A37</f>
        <v>46280</v>
      </c>
      <c r="B91" t="s">
        <v>38</v>
      </c>
      <c r="C91" t="s">
        <v>39</v>
      </c>
      <c r="D91" s="8" t="str">
        <f>IF(J91=0,"",SUMIFS(Datos!$E$5:$E$228,Datos!$A$5:$A$228,A91,Datos!$B$5:$B$228,B91,Datos!$M$5:$M$228,1))</f>
        <v/>
      </c>
      <c r="E91" s="8" t="str">
        <f>IF(J91=0,"",SUMIFS(Datos!$G$5:$G$228,Datos!$A$5:$A$228,A91,Datos!$B$5:$B$228,B91,Datos!$M$5:$M$228,1))</f>
        <v/>
      </c>
      <c r="F91" s="8" t="str">
        <f t="shared" si="10"/>
        <v/>
      </c>
      <c r="G91" s="8" t="str">
        <f>IF(COUNTIFS(Datos!$A$5:$A$228,A91,Datos!$B$5:$B$228,B91,Datos!$M$5:$M$228,1,Datos!$Q$5:$Q$228,"&gt;0")=0,"Pendiente GPS",_xlfn.MAXIFS(Datos!$Q$5:$Q$228,Datos!$A$5:$A$228,A91,Datos!$B$5:$B$228,B91,Datos!$M$5:$M$228,1))</f>
        <v>Pendiente GPS</v>
      </c>
      <c r="H91" t="str">
        <f t="shared" si="11"/>
        <v>Sin registro</v>
      </c>
      <c r="I91" t="str">
        <f>IF(J91=0,"",SUMIFS(Datos!$F$5:$F$228,Datos!$A$5:$A$228,A91,Datos!$B$5:$B$228,B91,Datos!$M$5:$M$228,1))</f>
        <v/>
      </c>
      <c r="J91">
        <f>COUNTIFS(Datos!$A$5:$A$228,A91,Datos!$B$5:$B$228,B91,Datos!$M$5:$M$228,1)</f>
        <v>0</v>
      </c>
    </row>
    <row r="92" spans="1:10">
      <c r="A92" s="5">
        <f>A37</f>
        <v>46280</v>
      </c>
      <c r="B92" t="s">
        <v>40</v>
      </c>
      <c r="C92" t="s">
        <v>41</v>
      </c>
      <c r="D92" s="8" t="str">
        <f>IF(J92=0,"",SUMIFS(Datos!$E$5:$E$228,Datos!$A$5:$A$228,A92,Datos!$B$5:$B$228,B92,Datos!$M$5:$M$228,1))</f>
        <v/>
      </c>
      <c r="E92" s="8" t="str">
        <f>IF(J92=0,"",SUMIFS(Datos!$G$5:$G$228,Datos!$A$5:$A$228,A92,Datos!$B$5:$B$228,B92,Datos!$M$5:$M$228,1))</f>
        <v/>
      </c>
      <c r="F92" s="8" t="str">
        <f t="shared" si="10"/>
        <v/>
      </c>
      <c r="G92" s="8" t="str">
        <f>IF(COUNTIFS(Datos!$A$5:$A$228,A92,Datos!$B$5:$B$228,B92,Datos!$M$5:$M$228,1,Datos!$Q$5:$Q$228,"&gt;0")=0,"Pendiente GPS",_xlfn.MAXIFS(Datos!$Q$5:$Q$228,Datos!$A$5:$A$228,A92,Datos!$B$5:$B$228,B92,Datos!$M$5:$M$228,1))</f>
        <v>Pendiente GPS</v>
      </c>
      <c r="H92" t="str">
        <f t="shared" si="11"/>
        <v>Sin registro</v>
      </c>
      <c r="I92" t="str">
        <f>IF(J92=0,"",SUMIFS(Datos!$F$5:$F$228,Datos!$A$5:$A$228,A92,Datos!$B$5:$B$228,B92,Datos!$M$5:$M$228,1))</f>
        <v/>
      </c>
      <c r="J92">
        <f>COUNTIFS(Datos!$A$5:$A$228,A92,Datos!$B$5:$B$228,B92,Datos!$M$5:$M$228,1)</f>
        <v>0</v>
      </c>
    </row>
    <row r="93" spans="1:10">
      <c r="A93" s="5">
        <f>A38</f>
        <v>46281</v>
      </c>
      <c r="B93" t="s">
        <v>31</v>
      </c>
      <c r="C93" t="s">
        <v>8</v>
      </c>
      <c r="D93" s="8">
        <f>IF(J93=0,"",SUMIFS(Datos!$E$5:$E$228,Datos!$A$5:$A$228,A93,Datos!$B$5:$B$228,B93,Datos!$M$5:$M$228,1))</f>
        <v>137</v>
      </c>
      <c r="E93" s="8">
        <f>IF(J93=0,"",SUMIFS(Datos!$G$5:$G$228,Datos!$A$5:$A$228,A93,Datos!$B$5:$B$228,B93,Datos!$M$5:$M$228,1))</f>
        <v>9.1730000000000018</v>
      </c>
      <c r="F93" s="8">
        <f t="shared" si="10"/>
        <v>14.935135724408587</v>
      </c>
      <c r="G93" s="8" t="str">
        <f>IF(COUNTIFS(Datos!$A$5:$A$228,A93,Datos!$B$5:$B$228,B93,Datos!$M$5:$M$228,1,Datos!$Q$5:$Q$228,"&gt;0")=0,"Pendiente GPS",_xlfn.MAXIFS(Datos!$Q$5:$Q$228,Datos!$A$5:$A$228,A93,Datos!$B$5:$B$228,B93,Datos!$M$5:$M$228,1))</f>
        <v>Pendiente GPS</v>
      </c>
      <c r="H93" t="str">
        <f t="shared" si="11"/>
        <v>Movimiento</v>
      </c>
      <c r="I93">
        <f>IF(J93=0,"",SUMIFS(Datos!$F$5:$F$228,Datos!$A$5:$A$228,A93,Datos!$B$5:$B$228,B93,Datos!$M$5:$M$228,1))</f>
        <v>15.5</v>
      </c>
      <c r="J93">
        <f>COUNTIFS(Datos!$A$5:$A$228,A93,Datos!$B$5:$B$228,B93,Datos!$M$5:$M$228,1)</f>
        <v>2</v>
      </c>
    </row>
    <row r="94" spans="1:10">
      <c r="A94" s="5">
        <f>A38</f>
        <v>46281</v>
      </c>
      <c r="B94" t="s">
        <v>32</v>
      </c>
      <c r="C94" t="s">
        <v>8</v>
      </c>
      <c r="D94" s="8">
        <f>IF(J94=0,"",SUMIFS(Datos!$E$5:$E$228,Datos!$A$5:$A$228,A94,Datos!$B$5:$B$228,B94,Datos!$M$5:$M$228,1))</f>
        <v>118</v>
      </c>
      <c r="E94" s="8">
        <f>IF(J94=0,"",SUMIFS(Datos!$G$5:$G$228,Datos!$A$5:$A$228,A94,Datos!$B$5:$B$228,B94,Datos!$M$5:$M$228,1))</f>
        <v>7.8040000000000003</v>
      </c>
      <c r="F94" s="8">
        <f t="shared" si="10"/>
        <v>15.120451050743208</v>
      </c>
      <c r="G94" s="8" t="str">
        <f>IF(COUNTIFS(Datos!$A$5:$A$228,A94,Datos!$B$5:$B$228,B94,Datos!$M$5:$M$228,1,Datos!$Q$5:$Q$228,"&gt;0")=0,"Pendiente GPS",_xlfn.MAXIFS(Datos!$Q$5:$Q$228,Datos!$A$5:$A$228,A94,Datos!$B$5:$B$228,B94,Datos!$M$5:$M$228,1))</f>
        <v>Pendiente GPS</v>
      </c>
      <c r="H94" t="str">
        <f t="shared" si="11"/>
        <v>Movimiento</v>
      </c>
      <c r="I94">
        <f>IF(J94=0,"",SUMIFS(Datos!$F$5:$F$228,Datos!$A$5:$A$228,A94,Datos!$B$5:$B$228,B94,Datos!$M$5:$M$228,1))</f>
        <v>13.9</v>
      </c>
      <c r="J94">
        <f>COUNTIFS(Datos!$A$5:$A$228,A94,Datos!$B$5:$B$228,B94,Datos!$M$5:$M$228,1)</f>
        <v>2</v>
      </c>
    </row>
    <row r="95" spans="1:10">
      <c r="A95" s="5">
        <f>A38</f>
        <v>46281</v>
      </c>
      <c r="B95" t="s">
        <v>33</v>
      </c>
      <c r="C95" t="s">
        <v>8</v>
      </c>
      <c r="D95" s="8">
        <f>IF(J95=0,"",SUMIFS(Datos!$E$5:$E$228,Datos!$A$5:$A$228,A95,Datos!$B$5:$B$228,B95,Datos!$M$5:$M$228,1))</f>
        <v>139</v>
      </c>
      <c r="E95" s="8">
        <f>IF(J95=0,"",SUMIFS(Datos!$G$5:$G$228,Datos!$A$5:$A$228,A95,Datos!$B$5:$B$228,B95,Datos!$M$5:$M$228,1))</f>
        <v>9.3210000000000015</v>
      </c>
      <c r="F95" s="8">
        <f t="shared" si="10"/>
        <v>14.912563029717839</v>
      </c>
      <c r="G95" s="8" t="str">
        <f>IF(COUNTIFS(Datos!$A$5:$A$228,A95,Datos!$B$5:$B$228,B95,Datos!$M$5:$M$228,1,Datos!$Q$5:$Q$228,"&gt;0")=0,"Pendiente GPS",_xlfn.MAXIFS(Datos!$Q$5:$Q$228,Datos!$A$5:$A$228,A95,Datos!$B$5:$B$228,B95,Datos!$M$5:$M$228,1))</f>
        <v>Pendiente GPS</v>
      </c>
      <c r="H95" t="str">
        <f t="shared" si="11"/>
        <v>Movimiento</v>
      </c>
      <c r="I95">
        <f>IF(J95=0,"",SUMIFS(Datos!$F$5:$F$228,Datos!$A$5:$A$228,A95,Datos!$B$5:$B$228,B95,Datos!$M$5:$M$228,1))</f>
        <v>14.8</v>
      </c>
      <c r="J95">
        <f>COUNTIFS(Datos!$A$5:$A$228,A95,Datos!$B$5:$B$228,B95,Datos!$M$5:$M$228,1)</f>
        <v>2</v>
      </c>
    </row>
    <row r="96" spans="1:10">
      <c r="A96" s="5">
        <f>A38</f>
        <v>46281</v>
      </c>
      <c r="B96" t="s">
        <v>34</v>
      </c>
      <c r="C96" t="s">
        <v>8</v>
      </c>
      <c r="D96" s="8">
        <f>IF(J96=0,"",SUMIFS(Datos!$E$5:$E$228,Datos!$A$5:$A$228,A96,Datos!$B$5:$B$228,B96,Datos!$M$5:$M$228,1))</f>
        <v>143</v>
      </c>
      <c r="E96" s="8">
        <f>IF(J96=0,"",SUMIFS(Datos!$G$5:$G$228,Datos!$A$5:$A$228,A96,Datos!$B$5:$B$228,B96,Datos!$M$5:$M$228,1))</f>
        <v>9.5590000000000011</v>
      </c>
      <c r="F96" s="8">
        <f t="shared" si="10"/>
        <v>14.959723820483312</v>
      </c>
      <c r="G96" s="8" t="str">
        <f>IF(COUNTIFS(Datos!$A$5:$A$228,A96,Datos!$B$5:$B$228,B96,Datos!$M$5:$M$228,1,Datos!$Q$5:$Q$228,"&gt;0")=0,"Pendiente GPS",_xlfn.MAXIFS(Datos!$Q$5:$Q$228,Datos!$A$5:$A$228,A96,Datos!$B$5:$B$228,B96,Datos!$M$5:$M$228,1))</f>
        <v>Pendiente GPS</v>
      </c>
      <c r="H96" t="str">
        <f t="shared" si="11"/>
        <v>Movimiento</v>
      </c>
      <c r="I96">
        <f>IF(J96=0,"",SUMIFS(Datos!$F$5:$F$228,Datos!$A$5:$A$228,A96,Datos!$B$5:$B$228,B96,Datos!$M$5:$M$228,1))</f>
        <v>15.7</v>
      </c>
      <c r="J96">
        <f>COUNTIFS(Datos!$A$5:$A$228,A96,Datos!$B$5:$B$228,B96,Datos!$M$5:$M$228,1)</f>
        <v>2</v>
      </c>
    </row>
    <row r="97" spans="1:14">
      <c r="A97" s="5">
        <f>A38</f>
        <v>46281</v>
      </c>
      <c r="B97" t="s">
        <v>35</v>
      </c>
      <c r="C97" t="s">
        <v>36</v>
      </c>
      <c r="D97" s="8" t="str">
        <f>IF(J97=0,"",SUMIFS(Datos!$E$5:$E$228,Datos!$A$5:$A$228,A97,Datos!$B$5:$B$228,B97,Datos!$M$5:$M$228,1))</f>
        <v/>
      </c>
      <c r="E97" s="8" t="str">
        <f>IF(J97=0,"",SUMIFS(Datos!$G$5:$G$228,Datos!$A$5:$A$228,A97,Datos!$B$5:$B$228,B97,Datos!$M$5:$M$228,1))</f>
        <v/>
      </c>
      <c r="F97" s="8" t="str">
        <f t="shared" si="10"/>
        <v/>
      </c>
      <c r="G97" s="8" t="str">
        <f>IF(COUNTIFS(Datos!$A$5:$A$228,A97,Datos!$B$5:$B$228,B97,Datos!$M$5:$M$228,1,Datos!$Q$5:$Q$228,"&gt;0")=0,"Pendiente GPS",_xlfn.MAXIFS(Datos!$Q$5:$Q$228,Datos!$A$5:$A$228,A97,Datos!$B$5:$B$228,B97,Datos!$M$5:$M$228,1))</f>
        <v>Pendiente GPS</v>
      </c>
      <c r="H97" t="str">
        <f t="shared" si="11"/>
        <v>Sin registro</v>
      </c>
      <c r="I97" t="str">
        <f>IF(J97=0,"",SUMIFS(Datos!$F$5:$F$228,Datos!$A$5:$A$228,A97,Datos!$B$5:$B$228,B97,Datos!$M$5:$M$228,1))</f>
        <v/>
      </c>
      <c r="J97">
        <f>COUNTIFS(Datos!$A$5:$A$228,A97,Datos!$B$5:$B$228,B97,Datos!$M$5:$M$228,1)</f>
        <v>0</v>
      </c>
    </row>
    <row r="98" spans="1:14">
      <c r="A98" s="5">
        <f>A38</f>
        <v>46281</v>
      </c>
      <c r="B98" t="s">
        <v>37</v>
      </c>
      <c r="C98" t="s">
        <v>36</v>
      </c>
      <c r="D98" s="8" t="str">
        <f>IF(J98=0,"",SUMIFS(Datos!$E$5:$E$228,Datos!$A$5:$A$228,A98,Datos!$B$5:$B$228,B98,Datos!$M$5:$M$228,1))</f>
        <v/>
      </c>
      <c r="E98" s="8" t="str">
        <f>IF(J98=0,"",SUMIFS(Datos!$G$5:$G$228,Datos!$A$5:$A$228,A98,Datos!$B$5:$B$228,B98,Datos!$M$5:$M$228,1))</f>
        <v/>
      </c>
      <c r="F98" s="8" t="str">
        <f t="shared" si="10"/>
        <v/>
      </c>
      <c r="G98" s="8" t="str">
        <f>IF(COUNTIFS(Datos!$A$5:$A$228,A98,Datos!$B$5:$B$228,B98,Datos!$M$5:$M$228,1,Datos!$Q$5:$Q$228,"&gt;0")=0,"Pendiente GPS",_xlfn.MAXIFS(Datos!$Q$5:$Q$228,Datos!$A$5:$A$228,A98,Datos!$B$5:$B$228,B98,Datos!$M$5:$M$228,1))</f>
        <v>Pendiente GPS</v>
      </c>
      <c r="H98" t="str">
        <f t="shared" si="11"/>
        <v>Sin registro</v>
      </c>
      <c r="I98" t="str">
        <f>IF(J98=0,"",SUMIFS(Datos!$F$5:$F$228,Datos!$A$5:$A$228,A98,Datos!$B$5:$B$228,B98,Datos!$M$5:$M$228,1))</f>
        <v/>
      </c>
      <c r="J98">
        <f>COUNTIFS(Datos!$A$5:$A$228,A98,Datos!$B$5:$B$228,B98,Datos!$M$5:$M$228,1)</f>
        <v>0</v>
      </c>
    </row>
    <row r="99" spans="1:14">
      <c r="A99" s="5">
        <f>A38</f>
        <v>46281</v>
      </c>
      <c r="B99" t="s">
        <v>38</v>
      </c>
      <c r="C99" t="s">
        <v>39</v>
      </c>
      <c r="D99" s="8" t="str">
        <f>IF(J99=0,"",SUMIFS(Datos!$E$5:$E$228,Datos!$A$5:$A$228,A99,Datos!$B$5:$B$228,B99,Datos!$M$5:$M$228,1))</f>
        <v/>
      </c>
      <c r="E99" s="8" t="str">
        <f>IF(J99=0,"",SUMIFS(Datos!$G$5:$G$228,Datos!$A$5:$A$228,A99,Datos!$B$5:$B$228,B99,Datos!$M$5:$M$228,1))</f>
        <v/>
      </c>
      <c r="F99" s="8" t="str">
        <f t="shared" si="10"/>
        <v/>
      </c>
      <c r="G99" s="8" t="str">
        <f>IF(COUNTIFS(Datos!$A$5:$A$228,A99,Datos!$B$5:$B$228,B99,Datos!$M$5:$M$228,1,Datos!$Q$5:$Q$228,"&gt;0")=0,"Pendiente GPS",_xlfn.MAXIFS(Datos!$Q$5:$Q$228,Datos!$A$5:$A$228,A99,Datos!$B$5:$B$228,B99,Datos!$M$5:$M$228,1))</f>
        <v>Pendiente GPS</v>
      </c>
      <c r="H99" t="str">
        <f t="shared" si="11"/>
        <v>Sin registro</v>
      </c>
      <c r="I99" t="str">
        <f>IF(J99=0,"",SUMIFS(Datos!$F$5:$F$228,Datos!$A$5:$A$228,A99,Datos!$B$5:$B$228,B99,Datos!$M$5:$M$228,1))</f>
        <v/>
      </c>
      <c r="J99">
        <f>COUNTIFS(Datos!$A$5:$A$228,A99,Datos!$B$5:$B$228,B99,Datos!$M$5:$M$228,1)</f>
        <v>0</v>
      </c>
    </row>
    <row r="100" spans="1:14">
      <c r="A100" s="5">
        <f>A38</f>
        <v>46281</v>
      </c>
      <c r="B100" t="s">
        <v>40</v>
      </c>
      <c r="C100" t="s">
        <v>41</v>
      </c>
      <c r="D100" s="8" t="str">
        <f>IF(J100=0,"",SUMIFS(Datos!$E$5:$E$228,Datos!$A$5:$A$228,A100,Datos!$B$5:$B$228,B100,Datos!$M$5:$M$228,1))</f>
        <v/>
      </c>
      <c r="E100" s="8" t="str">
        <f>IF(J100=0,"",SUMIFS(Datos!$G$5:$G$228,Datos!$A$5:$A$228,A100,Datos!$B$5:$B$228,B100,Datos!$M$5:$M$228,1))</f>
        <v/>
      </c>
      <c r="F100" s="8" t="str">
        <f t="shared" si="10"/>
        <v/>
      </c>
      <c r="G100" s="8" t="str">
        <f>IF(COUNTIFS(Datos!$A$5:$A$228,A100,Datos!$B$5:$B$228,B100,Datos!$M$5:$M$228,1,Datos!$Q$5:$Q$228,"&gt;0")=0,"Pendiente GPS",_xlfn.MAXIFS(Datos!$Q$5:$Q$228,Datos!$A$5:$A$228,A100,Datos!$B$5:$B$228,B100,Datos!$M$5:$M$228,1))</f>
        <v>Pendiente GPS</v>
      </c>
      <c r="H100" t="str">
        <f t="shared" si="11"/>
        <v>Sin registro</v>
      </c>
      <c r="I100" t="str">
        <f>IF(J100=0,"",SUMIFS(Datos!$F$5:$F$228,Datos!$A$5:$A$228,A100,Datos!$B$5:$B$228,B100,Datos!$M$5:$M$228,1))</f>
        <v/>
      </c>
      <c r="J100">
        <f>COUNTIFS(Datos!$A$5:$A$228,A100,Datos!$B$5:$B$228,B100,Datos!$M$5:$M$228,1)</f>
        <v>0</v>
      </c>
    </row>
    <row r="101" spans="1:14">
      <c r="A101" s="5">
        <f>A39</f>
        <v>46282</v>
      </c>
      <c r="B101" t="s">
        <v>31</v>
      </c>
      <c r="C101" t="s">
        <v>8</v>
      </c>
      <c r="D101" s="8">
        <f>IF(J101=0,"",SUMIFS(Datos!$E$5:$E$228,Datos!$A$5:$A$228,A101,Datos!$B$5:$B$228,B101,Datos!$M$5:$M$228,1))</f>
        <v>144</v>
      </c>
      <c r="E101" s="8">
        <f>IF(J101=0,"",SUMIFS(Datos!$G$5:$G$228,Datos!$A$5:$A$228,A101,Datos!$B$5:$B$228,B101,Datos!$M$5:$M$228,1))</f>
        <v>9.6389999999999993</v>
      </c>
      <c r="F101" s="8">
        <f t="shared" si="10"/>
        <v>14.939309056956116</v>
      </c>
      <c r="G101" s="8" t="str">
        <f>IF(COUNTIFS(Datos!$A$5:$A$228,A101,Datos!$B$5:$B$228,B101,Datos!$M$5:$M$228,1,Datos!$Q$5:$Q$228,"&gt;0")=0,"Pendiente GPS",_xlfn.MAXIFS(Datos!$Q$5:$Q$228,Datos!$A$5:$A$228,A101,Datos!$B$5:$B$228,B101,Datos!$M$5:$M$228,1))</f>
        <v>Pendiente GPS</v>
      </c>
      <c r="H101" t="str">
        <f t="shared" si="11"/>
        <v>Movimiento</v>
      </c>
      <c r="I101">
        <f>IF(J101=0,"",SUMIFS(Datos!$F$5:$F$228,Datos!$A$5:$A$228,A101,Datos!$B$5:$B$228,B101,Datos!$M$5:$M$228,1))</f>
        <v>14.4</v>
      </c>
      <c r="J101">
        <f>COUNTIFS(Datos!$A$5:$A$228,A101,Datos!$B$5:$B$228,B101,Datos!$M$5:$M$228,1)</f>
        <v>2</v>
      </c>
    </row>
    <row r="102" spans="1:14">
      <c r="A102" s="5">
        <f>A39</f>
        <v>46282</v>
      </c>
      <c r="B102" t="s">
        <v>32</v>
      </c>
      <c r="C102" t="s">
        <v>8</v>
      </c>
      <c r="D102" s="8">
        <f>IF(J102=0,"",SUMIFS(Datos!$E$5:$E$228,Datos!$A$5:$A$228,A102,Datos!$B$5:$B$228,B102,Datos!$M$5:$M$228,1))</f>
        <v>145</v>
      </c>
      <c r="E102" s="8">
        <f>IF(J102=0,"",SUMIFS(Datos!$G$5:$G$228,Datos!$A$5:$A$228,A102,Datos!$B$5:$B$228,B102,Datos!$M$5:$M$228,1))</f>
        <v>9.6660000000000004</v>
      </c>
      <c r="F102" s="8">
        <f t="shared" si="10"/>
        <v>15.001034554107179</v>
      </c>
      <c r="G102" s="8" t="str">
        <f>IF(COUNTIFS(Datos!$A$5:$A$228,A102,Datos!$B$5:$B$228,B102,Datos!$M$5:$M$228,1,Datos!$Q$5:$Q$228,"&gt;0")=0,"Pendiente GPS",_xlfn.MAXIFS(Datos!$Q$5:$Q$228,Datos!$A$5:$A$228,A102,Datos!$B$5:$B$228,B102,Datos!$M$5:$M$228,1))</f>
        <v>Pendiente GPS</v>
      </c>
      <c r="H102" t="str">
        <f t="shared" si="11"/>
        <v>Movimiento</v>
      </c>
      <c r="I102">
        <f>IF(J102=0,"",SUMIFS(Datos!$F$5:$F$228,Datos!$A$5:$A$228,A102,Datos!$B$5:$B$228,B102,Datos!$M$5:$M$228,1))</f>
        <v>15.299999999999999</v>
      </c>
      <c r="J102">
        <f>COUNTIFS(Datos!$A$5:$A$228,A102,Datos!$B$5:$B$228,B102,Datos!$M$5:$M$228,1)</f>
        <v>2</v>
      </c>
    </row>
    <row r="103" spans="1:14">
      <c r="A103" s="5">
        <f>A39</f>
        <v>46282</v>
      </c>
      <c r="B103" t="s">
        <v>33</v>
      </c>
      <c r="C103" t="s">
        <v>8</v>
      </c>
      <c r="D103" s="8">
        <f>IF(J103=0,"",SUMIFS(Datos!$E$5:$E$228,Datos!$A$5:$A$228,A103,Datos!$B$5:$B$228,B103,Datos!$M$5:$M$228,1))</f>
        <v>123</v>
      </c>
      <c r="E103" s="8">
        <f>IF(J103=0,"",SUMIFS(Datos!$G$5:$G$228,Datos!$A$5:$A$228,A103,Datos!$B$5:$B$228,B103,Datos!$M$5:$M$228,1))</f>
        <v>8.2390000000000008</v>
      </c>
      <c r="F103" s="8">
        <f t="shared" si="10"/>
        <v>14.928996237407452</v>
      </c>
      <c r="G103" s="8" t="str">
        <f>IF(COUNTIFS(Datos!$A$5:$A$228,A103,Datos!$B$5:$B$228,B103,Datos!$M$5:$M$228,1,Datos!$Q$5:$Q$228,"&gt;0")=0,"Pendiente GPS",_xlfn.MAXIFS(Datos!$Q$5:$Q$228,Datos!$A$5:$A$228,A103,Datos!$B$5:$B$228,B103,Datos!$M$5:$M$228,1))</f>
        <v>Pendiente GPS</v>
      </c>
      <c r="H103" t="str">
        <f t="shared" si="11"/>
        <v>Movimiento</v>
      </c>
      <c r="I103">
        <f>IF(J103=0,"",SUMIFS(Datos!$F$5:$F$228,Datos!$A$5:$A$228,A103,Datos!$B$5:$B$228,B103,Datos!$M$5:$M$228,1))</f>
        <v>13.7</v>
      </c>
      <c r="J103">
        <f>COUNTIFS(Datos!$A$5:$A$228,A103,Datos!$B$5:$B$228,B103,Datos!$M$5:$M$228,1)</f>
        <v>2</v>
      </c>
    </row>
    <row r="104" spans="1:14">
      <c r="A104" s="5">
        <f>A39</f>
        <v>46282</v>
      </c>
      <c r="B104" t="s">
        <v>34</v>
      </c>
      <c r="C104" t="s">
        <v>8</v>
      </c>
      <c r="D104" s="8">
        <f>IF(J104=0,"",SUMIFS(Datos!$E$5:$E$228,Datos!$A$5:$A$228,A104,Datos!$B$5:$B$228,B104,Datos!$M$5:$M$228,1))</f>
        <v>126</v>
      </c>
      <c r="E104" s="8">
        <f>IF(J104=0,"",SUMIFS(Datos!$G$5:$G$228,Datos!$A$5:$A$228,A104,Datos!$B$5:$B$228,B104,Datos!$M$5:$M$228,1))</f>
        <v>8.4580000000000002</v>
      </c>
      <c r="F104" s="8">
        <f t="shared" si="10"/>
        <v>14.897138803499645</v>
      </c>
      <c r="G104" s="8" t="str">
        <f>IF(COUNTIFS(Datos!$A$5:$A$228,A104,Datos!$B$5:$B$228,B104,Datos!$M$5:$M$228,1,Datos!$Q$5:$Q$228,"&gt;0")=0,"Pendiente GPS",_xlfn.MAXIFS(Datos!$Q$5:$Q$228,Datos!$A$5:$A$228,A104,Datos!$B$5:$B$228,B104,Datos!$M$5:$M$228,1))</f>
        <v>Pendiente GPS</v>
      </c>
      <c r="H104" t="str">
        <f t="shared" si="11"/>
        <v>Movimiento</v>
      </c>
      <c r="I104">
        <f>IF(J104=0,"",SUMIFS(Datos!$F$5:$F$228,Datos!$A$5:$A$228,A104,Datos!$B$5:$B$228,B104,Datos!$M$5:$M$228,1))</f>
        <v>14.6</v>
      </c>
      <c r="J104">
        <f>COUNTIFS(Datos!$A$5:$A$228,A104,Datos!$B$5:$B$228,B104,Datos!$M$5:$M$228,1)</f>
        <v>2</v>
      </c>
    </row>
    <row r="105" spans="1:14">
      <c r="A105" s="5">
        <f>A39</f>
        <v>46282</v>
      </c>
      <c r="B105" t="s">
        <v>35</v>
      </c>
      <c r="C105" t="s">
        <v>36</v>
      </c>
      <c r="D105" s="8" t="str">
        <f>IF(J105=0,"",SUMIFS(Datos!$E$5:$E$228,Datos!$A$5:$A$228,A105,Datos!$B$5:$B$228,B105,Datos!$M$5:$M$228,1))</f>
        <v/>
      </c>
      <c r="E105" s="8" t="str">
        <f>IF(J105=0,"",SUMIFS(Datos!$G$5:$G$228,Datos!$A$5:$A$228,A105,Datos!$B$5:$B$228,B105,Datos!$M$5:$M$228,1))</f>
        <v/>
      </c>
      <c r="F105" s="8" t="str">
        <f t="shared" si="10"/>
        <v/>
      </c>
      <c r="G105" s="8" t="str">
        <f>IF(COUNTIFS(Datos!$A$5:$A$228,A105,Datos!$B$5:$B$228,B105,Datos!$M$5:$M$228,1,Datos!$Q$5:$Q$228,"&gt;0")=0,"Pendiente GPS",_xlfn.MAXIFS(Datos!$Q$5:$Q$228,Datos!$A$5:$A$228,A105,Datos!$B$5:$B$228,B105,Datos!$M$5:$M$228,1))</f>
        <v>Pendiente GPS</v>
      </c>
      <c r="H105" t="str">
        <f t="shared" si="11"/>
        <v>Sin registro</v>
      </c>
      <c r="I105" t="str">
        <f>IF(J105=0,"",SUMIFS(Datos!$F$5:$F$228,Datos!$A$5:$A$228,A105,Datos!$B$5:$B$228,B105,Datos!$M$5:$M$228,1))</f>
        <v/>
      </c>
      <c r="J105">
        <f>COUNTIFS(Datos!$A$5:$A$228,A105,Datos!$B$5:$B$228,B105,Datos!$M$5:$M$228,1)</f>
        <v>0</v>
      </c>
      <c r="L105" s="10" t="s">
        <v>6</v>
      </c>
      <c r="M105" s="10" t="s">
        <v>57</v>
      </c>
      <c r="N105" s="10" t="s">
        <v>48</v>
      </c>
    </row>
    <row r="106" spans="1:14">
      <c r="A106" s="5">
        <f>A39</f>
        <v>46282</v>
      </c>
      <c r="B106" t="s">
        <v>37</v>
      </c>
      <c r="C106" t="s">
        <v>36</v>
      </c>
      <c r="D106" s="8" t="str">
        <f>IF(J106=0,"",SUMIFS(Datos!$E$5:$E$228,Datos!$A$5:$A$228,A106,Datos!$B$5:$B$228,B106,Datos!$M$5:$M$228,1))</f>
        <v/>
      </c>
      <c r="E106" s="8" t="str">
        <f>IF(J106=0,"",SUMIFS(Datos!$G$5:$G$228,Datos!$A$5:$A$228,A106,Datos!$B$5:$B$228,B106,Datos!$M$5:$M$228,1))</f>
        <v/>
      </c>
      <c r="F106" s="8" t="str">
        <f t="shared" si="10"/>
        <v/>
      </c>
      <c r="G106" s="8" t="str">
        <f>IF(COUNTIFS(Datos!$A$5:$A$228,A106,Datos!$B$5:$B$228,B106,Datos!$M$5:$M$228,1,Datos!$Q$5:$Q$228,"&gt;0")=0,"Pendiente GPS",_xlfn.MAXIFS(Datos!$Q$5:$Q$228,Datos!$A$5:$A$228,A106,Datos!$B$5:$B$228,B106,Datos!$M$5:$M$228,1))</f>
        <v>Pendiente GPS</v>
      </c>
      <c r="H106" t="str">
        <f t="shared" si="11"/>
        <v>Sin registro</v>
      </c>
      <c r="I106" t="str">
        <f>IF(J106=0,"",SUMIFS(Datos!$F$5:$F$228,Datos!$A$5:$A$228,A106,Datos!$B$5:$B$228,B106,Datos!$M$5:$M$228,1))</f>
        <v/>
      </c>
      <c r="J106">
        <f>COUNTIFS(Datos!$A$5:$A$228,A106,Datos!$B$5:$B$228,B106,Datos!$M$5:$M$228,1)</f>
        <v>0</v>
      </c>
      <c r="L106" t="str">
        <f t="shared" ref="L106:L113" si="12">B53</f>
        <v>VOL-01</v>
      </c>
      <c r="M106" s="8">
        <f>IFERROR(SUMIFS(Datos!$E$5:$E$228,Datos!$B$5:$B$228,L106,Datos!$M$5:$M$228,1)/SUMIFS(Datos!$G$5:$G$228,Datos!$B$5:$B$228,L106,Datos!$M$5:$M$228,1),0)</f>
        <v>14.990371323323767</v>
      </c>
      <c r="N106" s="8">
        <f>IF(COUNTIFS(Datos!$B$5:$B$228,L106,Datos!$M$5:$M$228,1,Datos!$Q$5:$Q$228,"&gt;0")=0,0,_xlfn.MAXIFS(Datos!$Q$5:$Q$228,Datos!$B$5:$B$228,L106,Datos!$M$5:$M$228,1))</f>
        <v>0</v>
      </c>
    </row>
    <row r="107" spans="1:14">
      <c r="A107" s="5">
        <f>A39</f>
        <v>46282</v>
      </c>
      <c r="B107" t="s">
        <v>38</v>
      </c>
      <c r="C107" t="s">
        <v>39</v>
      </c>
      <c r="D107" s="8" t="str">
        <f>IF(J107=0,"",SUMIFS(Datos!$E$5:$E$228,Datos!$A$5:$A$228,A107,Datos!$B$5:$B$228,B107,Datos!$M$5:$M$228,1))</f>
        <v/>
      </c>
      <c r="E107" s="8" t="str">
        <f>IF(J107=0,"",SUMIFS(Datos!$G$5:$G$228,Datos!$A$5:$A$228,A107,Datos!$B$5:$B$228,B107,Datos!$M$5:$M$228,1))</f>
        <v/>
      </c>
      <c r="F107" s="8" t="str">
        <f t="shared" si="10"/>
        <v/>
      </c>
      <c r="G107" s="8" t="str">
        <f>IF(COUNTIFS(Datos!$A$5:$A$228,A107,Datos!$B$5:$B$228,B107,Datos!$M$5:$M$228,1,Datos!$Q$5:$Q$228,"&gt;0")=0,"Pendiente GPS",_xlfn.MAXIFS(Datos!$Q$5:$Q$228,Datos!$A$5:$A$228,A107,Datos!$B$5:$B$228,B107,Datos!$M$5:$M$228,1))</f>
        <v>Pendiente GPS</v>
      </c>
      <c r="H107" t="str">
        <f t="shared" si="11"/>
        <v>Sin registro</v>
      </c>
      <c r="I107" t="str">
        <f>IF(J107=0,"",SUMIFS(Datos!$F$5:$F$228,Datos!$A$5:$A$228,A107,Datos!$B$5:$B$228,B107,Datos!$M$5:$M$228,1))</f>
        <v/>
      </c>
      <c r="J107">
        <f>COUNTIFS(Datos!$A$5:$A$228,A107,Datos!$B$5:$B$228,B107,Datos!$M$5:$M$228,1)</f>
        <v>0</v>
      </c>
      <c r="L107" t="str">
        <f t="shared" si="12"/>
        <v>VOL-02</v>
      </c>
      <c r="M107" s="8">
        <f>IFERROR(SUMIFS(Datos!$E$5:$E$228,Datos!$B$5:$B$228,L107,Datos!$M$5:$M$228,1)/SUMIFS(Datos!$G$5:$G$228,Datos!$B$5:$B$228,L107,Datos!$M$5:$M$228,1),0)</f>
        <v>14.983147034944274</v>
      </c>
      <c r="N107" s="8">
        <f>IF(COUNTIFS(Datos!$B$5:$B$228,L107,Datos!$M$5:$M$228,1,Datos!$Q$5:$Q$228,"&gt;0")=0,0,_xlfn.MAXIFS(Datos!$Q$5:$Q$228,Datos!$B$5:$B$228,L107,Datos!$M$5:$M$228,1))</f>
        <v>0</v>
      </c>
    </row>
    <row r="108" spans="1:14">
      <c r="A108" s="5">
        <f>A39</f>
        <v>46282</v>
      </c>
      <c r="B108" t="s">
        <v>40</v>
      </c>
      <c r="C108" t="s">
        <v>41</v>
      </c>
      <c r="D108" s="8" t="str">
        <f>IF(J108=0,"",SUMIFS(Datos!$E$5:$E$228,Datos!$A$5:$A$228,A108,Datos!$B$5:$B$228,B108,Datos!$M$5:$M$228,1))</f>
        <v/>
      </c>
      <c r="E108" s="8" t="str">
        <f>IF(J108=0,"",SUMIFS(Datos!$G$5:$G$228,Datos!$A$5:$A$228,A108,Datos!$B$5:$B$228,B108,Datos!$M$5:$M$228,1))</f>
        <v/>
      </c>
      <c r="F108" s="8" t="str">
        <f t="shared" si="10"/>
        <v/>
      </c>
      <c r="G108" s="8" t="str">
        <f>IF(COUNTIFS(Datos!$A$5:$A$228,A108,Datos!$B$5:$B$228,B108,Datos!$M$5:$M$228,1,Datos!$Q$5:$Q$228,"&gt;0")=0,"Pendiente GPS",_xlfn.MAXIFS(Datos!$Q$5:$Q$228,Datos!$A$5:$A$228,A108,Datos!$B$5:$B$228,B108,Datos!$M$5:$M$228,1))</f>
        <v>Pendiente GPS</v>
      </c>
      <c r="H108" t="str">
        <f t="shared" si="11"/>
        <v>Sin registro</v>
      </c>
      <c r="I108" t="str">
        <f>IF(J108=0,"",SUMIFS(Datos!$F$5:$F$228,Datos!$A$5:$A$228,A108,Datos!$B$5:$B$228,B108,Datos!$M$5:$M$228,1))</f>
        <v/>
      </c>
      <c r="J108">
        <f>COUNTIFS(Datos!$A$5:$A$228,A108,Datos!$B$5:$B$228,B108,Datos!$M$5:$M$228,1)</f>
        <v>0</v>
      </c>
      <c r="L108" t="str">
        <f t="shared" si="12"/>
        <v>VOL-03</v>
      </c>
      <c r="M108" s="8">
        <f>IFERROR(SUMIFS(Datos!$E$5:$E$228,Datos!$B$5:$B$228,L108,Datos!$M$5:$M$228,1)/SUMIFS(Datos!$G$5:$G$228,Datos!$B$5:$B$228,L108,Datos!$M$5:$M$228,1),0)</f>
        <v>14.971258386306506</v>
      </c>
      <c r="N108" s="8">
        <f>IF(COUNTIFS(Datos!$B$5:$B$228,L108,Datos!$M$5:$M$228,1,Datos!$Q$5:$Q$228,"&gt;0")=0,0,_xlfn.MAXIFS(Datos!$Q$5:$Q$228,Datos!$B$5:$B$228,L108,Datos!$M$5:$M$228,1))</f>
        <v>0</v>
      </c>
    </row>
    <row r="109" spans="1:14">
      <c r="A109" s="5">
        <f>A40</f>
        <v>46283</v>
      </c>
      <c r="B109" t="s">
        <v>31</v>
      </c>
      <c r="C109" t="s">
        <v>8</v>
      </c>
      <c r="D109" s="8">
        <f>IF(J109=0,"",SUMIFS(Datos!$E$5:$E$228,Datos!$A$5:$A$228,A109,Datos!$B$5:$B$228,B109,Datos!$M$5:$M$228,1))</f>
        <v>128</v>
      </c>
      <c r="E109" s="8">
        <f>IF(J109=0,"",SUMIFS(Datos!$G$5:$G$228,Datos!$A$5:$A$228,A109,Datos!$B$5:$B$228,B109,Datos!$M$5:$M$228,1))</f>
        <v>8.5060000000000002</v>
      </c>
      <c r="F109" s="8">
        <f t="shared" si="10"/>
        <v>15.048201269691981</v>
      </c>
      <c r="G109" s="8" t="str">
        <f>IF(COUNTIFS(Datos!$A$5:$A$228,A109,Datos!$B$5:$B$228,B109,Datos!$M$5:$M$228,1,Datos!$Q$5:$Q$228,"&gt;0")=0,"Pendiente GPS",_xlfn.MAXIFS(Datos!$Q$5:$Q$228,Datos!$A$5:$A$228,A109,Datos!$B$5:$B$228,B109,Datos!$M$5:$M$228,1))</f>
        <v>Pendiente GPS</v>
      </c>
      <c r="H109" t="str">
        <f t="shared" si="11"/>
        <v>Movimiento</v>
      </c>
      <c r="I109">
        <f>IF(J109=0,"",SUMIFS(Datos!$F$5:$F$228,Datos!$A$5:$A$228,A109,Datos!$B$5:$B$228,B109,Datos!$M$5:$M$228,1))</f>
        <v>13.3</v>
      </c>
      <c r="J109">
        <f>COUNTIFS(Datos!$A$5:$A$228,A109,Datos!$B$5:$B$228,B109,Datos!$M$5:$M$228,1)</f>
        <v>2</v>
      </c>
      <c r="L109" t="str">
        <f t="shared" si="12"/>
        <v>VOL-04</v>
      </c>
      <c r="M109" s="8">
        <f>IFERROR(SUMIFS(Datos!$E$5:$E$228,Datos!$B$5:$B$228,L109,Datos!$M$5:$M$228,1)/SUMIFS(Datos!$G$5:$G$228,Datos!$B$5:$B$228,L109,Datos!$M$5:$M$228,1),0)</f>
        <v>14.975160250061405</v>
      </c>
      <c r="N109" s="8">
        <f>IF(COUNTIFS(Datos!$B$5:$B$228,L109,Datos!$M$5:$M$228,1,Datos!$Q$5:$Q$228,"&gt;0")=0,0,_xlfn.MAXIFS(Datos!$Q$5:$Q$228,Datos!$B$5:$B$228,L109,Datos!$M$5:$M$228,1))</f>
        <v>0</v>
      </c>
    </row>
    <row r="110" spans="1:14">
      <c r="A110" s="5">
        <f>A40</f>
        <v>46283</v>
      </c>
      <c r="B110" t="s">
        <v>32</v>
      </c>
      <c r="C110" t="s">
        <v>8</v>
      </c>
      <c r="D110" s="8">
        <f>IF(J110=0,"",SUMIFS(Datos!$E$5:$E$228,Datos!$A$5:$A$228,A110,Datos!$B$5:$B$228,B110,Datos!$M$5:$M$228,1))</f>
        <v>127</v>
      </c>
      <c r="E110" s="8">
        <f>IF(J110=0,"",SUMIFS(Datos!$G$5:$G$228,Datos!$A$5:$A$228,A110,Datos!$B$5:$B$228,B110,Datos!$M$5:$M$228,1))</f>
        <v>8.5139999999999993</v>
      </c>
      <c r="F110" s="8">
        <f t="shared" si="10"/>
        <v>14.916607939863756</v>
      </c>
      <c r="G110" s="8" t="str">
        <f>IF(COUNTIFS(Datos!$A$5:$A$228,A110,Datos!$B$5:$B$228,B110,Datos!$M$5:$M$228,1,Datos!$Q$5:$Q$228,"&gt;0")=0,"Pendiente GPS",_xlfn.MAXIFS(Datos!$Q$5:$Q$228,Datos!$A$5:$A$228,A110,Datos!$B$5:$B$228,B110,Datos!$M$5:$M$228,1))</f>
        <v>Pendiente GPS</v>
      </c>
      <c r="H110" t="str">
        <f t="shared" si="11"/>
        <v>Movimiento</v>
      </c>
      <c r="I110">
        <f>IF(J110=0,"",SUMIFS(Datos!$F$5:$F$228,Datos!$A$5:$A$228,A110,Datos!$B$5:$B$228,B110,Datos!$M$5:$M$228,1))</f>
        <v>14.2</v>
      </c>
      <c r="J110">
        <f>COUNTIFS(Datos!$A$5:$A$228,A110,Datos!$B$5:$B$228,B110,Datos!$M$5:$M$228,1)</f>
        <v>2</v>
      </c>
      <c r="L110" t="str">
        <f t="shared" si="12"/>
        <v>CAM-01</v>
      </c>
      <c r="M110" s="8">
        <f>IFERROR(SUMIFS(Datos!$E$5:$E$228,Datos!$B$5:$B$228,L110,Datos!$M$5:$M$228,1)/SUMIFS(Datos!$G$5:$G$228,Datos!$B$5:$B$228,L110,Datos!$M$5:$M$228,1),0)</f>
        <v>0</v>
      </c>
      <c r="N110" s="8">
        <f>IF(COUNTIFS(Datos!$B$5:$B$228,L110,Datos!$M$5:$M$228,1,Datos!$Q$5:$Q$228,"&gt;0")=0,0,_xlfn.MAXIFS(Datos!$Q$5:$Q$228,Datos!$B$5:$B$228,L110,Datos!$M$5:$M$228,1))</f>
        <v>0</v>
      </c>
    </row>
    <row r="111" spans="1:14">
      <c r="A111" s="5">
        <f>A40</f>
        <v>46283</v>
      </c>
      <c r="B111" t="s">
        <v>33</v>
      </c>
      <c r="C111" t="s">
        <v>8</v>
      </c>
      <c r="D111" s="8">
        <f>IF(J111=0,"",SUMIFS(Datos!$E$5:$E$228,Datos!$A$5:$A$228,A111,Datos!$B$5:$B$228,B111,Datos!$M$5:$M$228,1))</f>
        <v>132</v>
      </c>
      <c r="E111" s="8">
        <f>IF(J111=0,"",SUMIFS(Datos!$G$5:$G$228,Datos!$A$5:$A$228,A111,Datos!$B$5:$B$228,B111,Datos!$M$5:$M$228,1))</f>
        <v>8.7430000000000003</v>
      </c>
      <c r="F111" s="8">
        <f t="shared" si="10"/>
        <v>15.097792519730069</v>
      </c>
      <c r="G111" s="8" t="str">
        <f>IF(COUNTIFS(Datos!$A$5:$A$228,A111,Datos!$B$5:$B$228,B111,Datos!$M$5:$M$228,1,Datos!$Q$5:$Q$228,"&gt;0")=0,"Pendiente GPS",_xlfn.MAXIFS(Datos!$Q$5:$Q$228,Datos!$A$5:$A$228,A111,Datos!$B$5:$B$228,B111,Datos!$M$5:$M$228,1))</f>
        <v>Pendiente GPS</v>
      </c>
      <c r="H111" t="str">
        <f t="shared" si="11"/>
        <v>Movimiento</v>
      </c>
      <c r="I111">
        <f>IF(J111=0,"",SUMIFS(Datos!$F$5:$F$228,Datos!$A$5:$A$228,A111,Datos!$B$5:$B$228,B111,Datos!$M$5:$M$228,1))</f>
        <v>15.1</v>
      </c>
      <c r="J111">
        <f>COUNTIFS(Datos!$A$5:$A$228,A111,Datos!$B$5:$B$228,B111,Datos!$M$5:$M$228,1)</f>
        <v>2</v>
      </c>
      <c r="L111" t="str">
        <f t="shared" si="12"/>
        <v>CAM-02</v>
      </c>
      <c r="M111" s="8">
        <f>IFERROR(SUMIFS(Datos!$E$5:$E$228,Datos!$B$5:$B$228,L111,Datos!$M$5:$M$228,1)/SUMIFS(Datos!$G$5:$G$228,Datos!$B$5:$B$228,L111,Datos!$M$5:$M$228,1),0)</f>
        <v>0</v>
      </c>
      <c r="N111" s="8">
        <f>IF(COUNTIFS(Datos!$B$5:$B$228,L111,Datos!$M$5:$M$228,1,Datos!$Q$5:$Q$228,"&gt;0")=0,0,_xlfn.MAXIFS(Datos!$Q$5:$Q$228,Datos!$B$5:$B$228,L111,Datos!$M$5:$M$228,1))</f>
        <v>0</v>
      </c>
    </row>
    <row r="112" spans="1:14">
      <c r="A112" s="5">
        <f>A40</f>
        <v>46283</v>
      </c>
      <c r="B112" t="s">
        <v>34</v>
      </c>
      <c r="C112" t="s">
        <v>8</v>
      </c>
      <c r="D112" s="8">
        <f>IF(J112=0,"",SUMIFS(Datos!$E$5:$E$228,Datos!$A$5:$A$228,A112,Datos!$B$5:$B$228,B112,Datos!$M$5:$M$228,1))</f>
        <v>130</v>
      </c>
      <c r="E112" s="8">
        <f>IF(J112=0,"",SUMIFS(Datos!$G$5:$G$228,Datos!$A$5:$A$228,A112,Datos!$B$5:$B$228,B112,Datos!$M$5:$M$228,1))</f>
        <v>8.6580000000000013</v>
      </c>
      <c r="F112" s="8">
        <f t="shared" si="10"/>
        <v>15.015015015015013</v>
      </c>
      <c r="G112" s="8" t="str">
        <f>IF(COUNTIFS(Datos!$A$5:$A$228,A112,Datos!$B$5:$B$228,B112,Datos!$M$5:$M$228,1,Datos!$Q$5:$Q$228,"&gt;0")=0,"Pendiente GPS",_xlfn.MAXIFS(Datos!$Q$5:$Q$228,Datos!$A$5:$A$228,A112,Datos!$B$5:$B$228,B112,Datos!$M$5:$M$228,1))</f>
        <v>Pendiente GPS</v>
      </c>
      <c r="H112" t="str">
        <f t="shared" si="11"/>
        <v>Movimiento</v>
      </c>
      <c r="I112">
        <f>IF(J112=0,"",SUMIFS(Datos!$F$5:$F$228,Datos!$A$5:$A$228,A112,Datos!$B$5:$B$228,B112,Datos!$M$5:$M$228,1))</f>
        <v>13.5</v>
      </c>
      <c r="J112">
        <f>COUNTIFS(Datos!$A$5:$A$228,A112,Datos!$B$5:$B$228,B112,Datos!$M$5:$M$228,1)</f>
        <v>2</v>
      </c>
      <c r="L112" t="str">
        <f t="shared" si="12"/>
        <v>MIN-01</v>
      </c>
      <c r="M112" s="8">
        <f>IFERROR(SUMIFS(Datos!$E$5:$E$228,Datos!$B$5:$B$228,L112,Datos!$M$5:$M$228,1)/SUMIFS(Datos!$G$5:$G$228,Datos!$B$5:$B$228,L112,Datos!$M$5:$M$228,1),0)</f>
        <v>0</v>
      </c>
      <c r="N112" s="8">
        <f>IF(COUNTIFS(Datos!$B$5:$B$228,L112,Datos!$M$5:$M$228,1,Datos!$Q$5:$Q$228,"&gt;0")=0,0,_xlfn.MAXIFS(Datos!$Q$5:$Q$228,Datos!$B$5:$B$228,L112,Datos!$M$5:$M$228,1))</f>
        <v>0</v>
      </c>
    </row>
    <row r="113" spans="1:14">
      <c r="A113" s="5">
        <f>A40</f>
        <v>46283</v>
      </c>
      <c r="B113" t="s">
        <v>35</v>
      </c>
      <c r="C113" t="s">
        <v>36</v>
      </c>
      <c r="D113" s="8" t="str">
        <f>IF(J113=0,"",SUMIFS(Datos!$E$5:$E$228,Datos!$A$5:$A$228,A113,Datos!$B$5:$B$228,B113,Datos!$M$5:$M$228,1))</f>
        <v/>
      </c>
      <c r="E113" s="8" t="str">
        <f>IF(J113=0,"",SUMIFS(Datos!$G$5:$G$228,Datos!$A$5:$A$228,A113,Datos!$B$5:$B$228,B113,Datos!$M$5:$M$228,1))</f>
        <v/>
      </c>
      <c r="F113" s="8" t="str">
        <f t="shared" si="10"/>
        <v/>
      </c>
      <c r="G113" s="8" t="str">
        <f>IF(COUNTIFS(Datos!$A$5:$A$228,A113,Datos!$B$5:$B$228,B113,Datos!$M$5:$M$228,1,Datos!$Q$5:$Q$228,"&gt;0")=0,"Pendiente GPS",_xlfn.MAXIFS(Datos!$Q$5:$Q$228,Datos!$A$5:$A$228,A113,Datos!$B$5:$B$228,B113,Datos!$M$5:$M$228,1))</f>
        <v>Pendiente GPS</v>
      </c>
      <c r="H113" t="str">
        <f t="shared" si="11"/>
        <v>Sin registro</v>
      </c>
      <c r="I113" t="str">
        <f>IF(J113=0,"",SUMIFS(Datos!$F$5:$F$228,Datos!$A$5:$A$228,A113,Datos!$B$5:$B$228,B113,Datos!$M$5:$M$228,1))</f>
        <v/>
      </c>
      <c r="J113">
        <f>COUNTIFS(Datos!$A$5:$A$228,A113,Datos!$B$5:$B$228,B113,Datos!$M$5:$M$228,1)</f>
        <v>0</v>
      </c>
      <c r="L113" t="str">
        <f t="shared" si="12"/>
        <v>COM-01</v>
      </c>
      <c r="M113" s="8">
        <f>IFERROR(SUMIFS(Datos!$E$5:$E$228,Datos!$B$5:$B$228,L113,Datos!$M$5:$M$228,1)/SUMIFS(Datos!$G$5:$G$228,Datos!$B$5:$B$228,L113,Datos!$M$5:$M$228,1),0)</f>
        <v>0</v>
      </c>
      <c r="N113" s="8">
        <f>IF(COUNTIFS(Datos!$B$5:$B$228,L113,Datos!$M$5:$M$228,1,Datos!$Q$5:$Q$228,"&gt;0")=0,0,_xlfn.MAXIFS(Datos!$Q$5:$Q$228,Datos!$B$5:$B$228,L113,Datos!$M$5:$M$228,1))</f>
        <v>0</v>
      </c>
    </row>
    <row r="114" spans="1:14">
      <c r="A114" s="5">
        <f>A40</f>
        <v>46283</v>
      </c>
      <c r="B114" t="s">
        <v>37</v>
      </c>
      <c r="C114" t="s">
        <v>36</v>
      </c>
      <c r="D114" s="8" t="str">
        <f>IF(J114=0,"",SUMIFS(Datos!$E$5:$E$228,Datos!$A$5:$A$228,A114,Datos!$B$5:$B$228,B114,Datos!$M$5:$M$228,1))</f>
        <v/>
      </c>
      <c r="E114" s="8" t="str">
        <f>IF(J114=0,"",SUMIFS(Datos!$G$5:$G$228,Datos!$A$5:$A$228,A114,Datos!$B$5:$B$228,B114,Datos!$M$5:$M$228,1))</f>
        <v/>
      </c>
      <c r="F114" s="8" t="str">
        <f t="shared" si="10"/>
        <v/>
      </c>
      <c r="G114" s="8" t="str">
        <f>IF(COUNTIFS(Datos!$A$5:$A$228,A114,Datos!$B$5:$B$228,B114,Datos!$M$5:$M$228,1,Datos!$Q$5:$Q$228,"&gt;0")=0,"Pendiente GPS",_xlfn.MAXIFS(Datos!$Q$5:$Q$228,Datos!$A$5:$A$228,A114,Datos!$B$5:$B$228,B114,Datos!$M$5:$M$228,1))</f>
        <v>Pendiente GPS</v>
      </c>
      <c r="H114" t="str">
        <f t="shared" si="11"/>
        <v>Sin registro</v>
      </c>
      <c r="I114" t="str">
        <f>IF(J114=0,"",SUMIFS(Datos!$F$5:$F$228,Datos!$A$5:$A$228,A114,Datos!$B$5:$B$228,B114,Datos!$M$5:$M$228,1))</f>
        <v/>
      </c>
      <c r="J114">
        <f>COUNTIFS(Datos!$A$5:$A$228,A114,Datos!$B$5:$B$228,B114,Datos!$M$5:$M$228,1)</f>
        <v>0</v>
      </c>
    </row>
    <row r="115" spans="1:14">
      <c r="A115" s="5">
        <f>A40</f>
        <v>46283</v>
      </c>
      <c r="B115" t="s">
        <v>38</v>
      </c>
      <c r="C115" t="s">
        <v>39</v>
      </c>
      <c r="D115" s="8" t="str">
        <f>IF(J115=0,"",SUMIFS(Datos!$E$5:$E$228,Datos!$A$5:$A$228,A115,Datos!$B$5:$B$228,B115,Datos!$M$5:$M$228,1))</f>
        <v/>
      </c>
      <c r="E115" s="8" t="str">
        <f>IF(J115=0,"",SUMIFS(Datos!$G$5:$G$228,Datos!$A$5:$A$228,A115,Datos!$B$5:$B$228,B115,Datos!$M$5:$M$228,1))</f>
        <v/>
      </c>
      <c r="F115" s="8" t="str">
        <f t="shared" si="10"/>
        <v/>
      </c>
      <c r="G115" s="8" t="str">
        <f>IF(COUNTIFS(Datos!$A$5:$A$228,A115,Datos!$B$5:$B$228,B115,Datos!$M$5:$M$228,1,Datos!$Q$5:$Q$228,"&gt;0")=0,"Pendiente GPS",_xlfn.MAXIFS(Datos!$Q$5:$Q$228,Datos!$A$5:$A$228,A115,Datos!$B$5:$B$228,B115,Datos!$M$5:$M$228,1))</f>
        <v>Pendiente GPS</v>
      </c>
      <c r="H115" t="str">
        <f t="shared" si="11"/>
        <v>Sin registro</v>
      </c>
      <c r="I115" t="str">
        <f>IF(J115=0,"",SUMIFS(Datos!$F$5:$F$228,Datos!$A$5:$A$228,A115,Datos!$B$5:$B$228,B115,Datos!$M$5:$M$228,1))</f>
        <v/>
      </c>
      <c r="J115">
        <f>COUNTIFS(Datos!$A$5:$A$228,A115,Datos!$B$5:$B$228,B115,Datos!$M$5:$M$228,1)</f>
        <v>0</v>
      </c>
      <c r="L115" t="s">
        <v>58</v>
      </c>
    </row>
    <row r="116" spans="1:14">
      <c r="A116" s="5">
        <f>A40</f>
        <v>46283</v>
      </c>
      <c r="B116" t="s">
        <v>40</v>
      </c>
      <c r="C116" t="s">
        <v>41</v>
      </c>
      <c r="D116" s="8" t="str">
        <f>IF(J116=0,"",SUMIFS(Datos!$E$5:$E$228,Datos!$A$5:$A$228,A116,Datos!$B$5:$B$228,B116,Datos!$M$5:$M$228,1))</f>
        <v/>
      </c>
      <c r="E116" s="8" t="str">
        <f>IF(J116=0,"",SUMIFS(Datos!$G$5:$G$228,Datos!$A$5:$A$228,A116,Datos!$B$5:$B$228,B116,Datos!$M$5:$M$228,1))</f>
        <v/>
      </c>
      <c r="F116" s="8" t="str">
        <f t="shared" si="10"/>
        <v/>
      </c>
      <c r="G116" s="8" t="str">
        <f>IF(COUNTIFS(Datos!$A$5:$A$228,A116,Datos!$B$5:$B$228,B116,Datos!$M$5:$M$228,1,Datos!$Q$5:$Q$228,"&gt;0")=0,"Pendiente GPS",_xlfn.MAXIFS(Datos!$Q$5:$Q$228,Datos!$A$5:$A$228,A116,Datos!$B$5:$B$228,B116,Datos!$M$5:$M$228,1))</f>
        <v>Pendiente GPS</v>
      </c>
      <c r="H116" t="str">
        <f t="shared" si="11"/>
        <v>Sin registro</v>
      </c>
      <c r="I116" t="str">
        <f>IF(J116=0,"",SUMIFS(Datos!$F$5:$F$228,Datos!$A$5:$A$228,A116,Datos!$B$5:$B$228,B116,Datos!$M$5:$M$228,1))</f>
        <v/>
      </c>
      <c r="J116">
        <f>COUNTIFS(Datos!$A$5:$A$228,A116,Datos!$B$5:$B$228,B116,Datos!$M$5:$M$228,1)</f>
        <v>0</v>
      </c>
    </row>
    <row r="117" spans="1:14">
      <c r="A117" s="5">
        <f>A41</f>
        <v>46284</v>
      </c>
      <c r="B117" t="s">
        <v>31</v>
      </c>
      <c r="C117" t="s">
        <v>8</v>
      </c>
      <c r="D117" s="8">
        <f>IF(J117=0,"",SUMIFS(Datos!$E$5:$E$228,Datos!$A$5:$A$228,A117,Datos!$B$5:$B$228,B117,Datos!$M$5:$M$228,1))</f>
        <v>132</v>
      </c>
      <c r="E117" s="8">
        <f>IF(J117=0,"",SUMIFS(Datos!$G$5:$G$228,Datos!$A$5:$A$228,A117,Datos!$B$5:$B$228,B117,Datos!$M$5:$M$228,1))</f>
        <v>8.8440000000000012</v>
      </c>
      <c r="F117" s="8">
        <f t="shared" ref="F117:F148" si="13">IF(OR(J117=0,E117=0),"",D117/E117)</f>
        <v>14.925373134328357</v>
      </c>
      <c r="G117" s="8" t="str">
        <f>IF(COUNTIFS(Datos!$A$5:$A$228,A117,Datos!$B$5:$B$228,B117,Datos!$M$5:$M$228,1,Datos!$Q$5:$Q$228,"&gt;0")=0,"Pendiente GPS",_xlfn.MAXIFS(Datos!$Q$5:$Q$228,Datos!$A$5:$A$228,A117,Datos!$B$5:$B$228,B117,Datos!$M$5:$M$228,1))</f>
        <v>Pendiente GPS</v>
      </c>
      <c r="H117" t="str">
        <f t="shared" ref="H117:H148" si="14">IF(J117=0,"Sin registro",IF(E117&gt;0,"Movimiento",IF(I117&gt;0,"Stand by*","Sin actividad")))</f>
        <v>Movimiento</v>
      </c>
      <c r="I117">
        <f>IF(J117=0,"",SUMIFS(Datos!$F$5:$F$228,Datos!$A$5:$A$228,A117,Datos!$B$5:$B$228,B117,Datos!$M$5:$M$228,1))</f>
        <v>14.7</v>
      </c>
      <c r="J117">
        <f>COUNTIFS(Datos!$A$5:$A$228,A117,Datos!$B$5:$B$228,B117,Datos!$M$5:$M$228,1)</f>
        <v>2</v>
      </c>
    </row>
    <row r="118" spans="1:14">
      <c r="A118" s="5">
        <f>A41</f>
        <v>46284</v>
      </c>
      <c r="B118" t="s">
        <v>32</v>
      </c>
      <c r="C118" t="s">
        <v>8</v>
      </c>
      <c r="D118" s="8">
        <f>IF(J118=0,"",SUMIFS(Datos!$E$5:$E$228,Datos!$A$5:$A$228,A118,Datos!$B$5:$B$228,B118,Datos!$M$5:$M$228,1))</f>
        <v>112</v>
      </c>
      <c r="E118" s="8">
        <f>IF(J118=0,"",SUMIFS(Datos!$G$5:$G$228,Datos!$A$5:$A$228,A118,Datos!$B$5:$B$228,B118,Datos!$M$5:$M$228,1))</f>
        <v>7.4829999999999997</v>
      </c>
      <c r="F118" s="8">
        <f t="shared" si="13"/>
        <v>14.967259120673527</v>
      </c>
      <c r="G118" s="8" t="str">
        <f>IF(COUNTIFS(Datos!$A$5:$A$228,A118,Datos!$B$5:$B$228,B118,Datos!$M$5:$M$228,1,Datos!$Q$5:$Q$228,"&gt;0")=0,"Pendiente GPS",_xlfn.MAXIFS(Datos!$Q$5:$Q$228,Datos!$A$5:$A$228,A118,Datos!$B$5:$B$228,B118,Datos!$M$5:$M$228,1))</f>
        <v>Pendiente GPS</v>
      </c>
      <c r="H118" t="str">
        <f t="shared" si="14"/>
        <v>Movimiento</v>
      </c>
      <c r="I118">
        <f>IF(J118=0,"",SUMIFS(Datos!$F$5:$F$228,Datos!$A$5:$A$228,A118,Datos!$B$5:$B$228,B118,Datos!$M$5:$M$228,1))</f>
        <v>13.1</v>
      </c>
      <c r="J118">
        <f>COUNTIFS(Datos!$A$5:$A$228,A118,Datos!$B$5:$B$228,B118,Datos!$M$5:$M$228,1)</f>
        <v>2</v>
      </c>
      <c r="L118" s="10" t="s">
        <v>44</v>
      </c>
      <c r="M118" s="10" t="s">
        <v>13</v>
      </c>
    </row>
    <row r="119" spans="1:14">
      <c r="A119" s="5">
        <f>A41</f>
        <v>46284</v>
      </c>
      <c r="B119" t="s">
        <v>33</v>
      </c>
      <c r="C119" t="s">
        <v>8</v>
      </c>
      <c r="D119" s="8">
        <f>IF(J119=0,"",SUMIFS(Datos!$E$5:$E$228,Datos!$A$5:$A$228,A119,Datos!$B$5:$B$228,B119,Datos!$M$5:$M$228,1))</f>
        <v>134</v>
      </c>
      <c r="E119" s="8">
        <f>IF(J119=0,"",SUMIFS(Datos!$G$5:$G$228,Datos!$A$5:$A$228,A119,Datos!$B$5:$B$228,B119,Datos!$M$5:$M$228,1))</f>
        <v>8.9529999999999994</v>
      </c>
      <c r="F119" s="8">
        <f t="shared" si="13"/>
        <v>14.967050150787447</v>
      </c>
      <c r="G119" s="8" t="str">
        <f>IF(COUNTIFS(Datos!$A$5:$A$228,A119,Datos!$B$5:$B$228,B119,Datos!$M$5:$M$228,1,Datos!$Q$5:$Q$228,"&gt;0")=0,"Pendiente GPS",_xlfn.MAXIFS(Datos!$Q$5:$Q$228,Datos!$A$5:$A$228,A119,Datos!$B$5:$B$228,B119,Datos!$M$5:$M$228,1))</f>
        <v>Pendiente GPS</v>
      </c>
      <c r="H119" t="str">
        <f t="shared" si="14"/>
        <v>Movimiento</v>
      </c>
      <c r="I119">
        <f>IF(J119=0,"",SUMIFS(Datos!$F$5:$F$228,Datos!$A$5:$A$228,A119,Datos!$B$5:$B$228,B119,Datos!$M$5:$M$228,1))</f>
        <v>14</v>
      </c>
      <c r="J119">
        <f>COUNTIFS(Datos!$A$5:$A$228,A119,Datos!$B$5:$B$228,B119,Datos!$M$5:$M$228,1)</f>
        <v>2</v>
      </c>
      <c r="L119" s="5">
        <f t="shared" ref="L119:L134" si="15">A33</f>
        <v>46276</v>
      </c>
      <c r="M119">
        <f t="shared" ref="M119:M134" si="16">IF(H33="",0,H33)</f>
        <v>6</v>
      </c>
    </row>
    <row r="120" spans="1:14">
      <c r="A120" s="5">
        <f>A41</f>
        <v>46284</v>
      </c>
      <c r="B120" t="s">
        <v>34</v>
      </c>
      <c r="C120" t="s">
        <v>8</v>
      </c>
      <c r="D120" s="8">
        <f>IF(J120=0,"",SUMIFS(Datos!$E$5:$E$228,Datos!$A$5:$A$228,A120,Datos!$B$5:$B$228,B120,Datos!$M$5:$M$228,1))</f>
        <v>138</v>
      </c>
      <c r="E120" s="8">
        <f>IF(J120=0,"",SUMIFS(Datos!$G$5:$G$228,Datos!$A$5:$A$228,A120,Datos!$B$5:$B$228,B120,Datos!$M$5:$M$228,1))</f>
        <v>9.2240000000000002</v>
      </c>
      <c r="F120" s="8">
        <f t="shared" si="13"/>
        <v>14.960971379011275</v>
      </c>
      <c r="G120" s="8" t="str">
        <f>IF(COUNTIFS(Datos!$A$5:$A$228,A120,Datos!$B$5:$B$228,B120,Datos!$M$5:$M$228,1,Datos!$Q$5:$Q$228,"&gt;0")=0,"Pendiente GPS",_xlfn.MAXIFS(Datos!$Q$5:$Q$228,Datos!$A$5:$A$228,A120,Datos!$B$5:$B$228,B120,Datos!$M$5:$M$228,1))</f>
        <v>Pendiente GPS</v>
      </c>
      <c r="H120" t="str">
        <f t="shared" si="14"/>
        <v>Movimiento</v>
      </c>
      <c r="I120">
        <f>IF(J120=0,"",SUMIFS(Datos!$F$5:$F$228,Datos!$A$5:$A$228,A120,Datos!$B$5:$B$228,B120,Datos!$M$5:$M$228,1))</f>
        <v>14.9</v>
      </c>
      <c r="J120">
        <f>COUNTIFS(Datos!$A$5:$A$228,A120,Datos!$B$5:$B$228,B120,Datos!$M$5:$M$228,1)</f>
        <v>2</v>
      </c>
      <c r="L120" s="5">
        <f t="shared" si="15"/>
        <v>46277</v>
      </c>
      <c r="M120">
        <f t="shared" si="16"/>
        <v>4</v>
      </c>
    </row>
    <row r="121" spans="1:14">
      <c r="A121" s="5">
        <f>A41</f>
        <v>46284</v>
      </c>
      <c r="B121" t="s">
        <v>35</v>
      </c>
      <c r="C121" t="s">
        <v>36</v>
      </c>
      <c r="D121" s="8" t="str">
        <f>IF(J121=0,"",SUMIFS(Datos!$E$5:$E$228,Datos!$A$5:$A$228,A121,Datos!$B$5:$B$228,B121,Datos!$M$5:$M$228,1))</f>
        <v/>
      </c>
      <c r="E121" s="8" t="str">
        <f>IF(J121=0,"",SUMIFS(Datos!$G$5:$G$228,Datos!$A$5:$A$228,A121,Datos!$B$5:$B$228,B121,Datos!$M$5:$M$228,1))</f>
        <v/>
      </c>
      <c r="F121" s="8" t="str">
        <f t="shared" si="13"/>
        <v/>
      </c>
      <c r="G121" s="8" t="str">
        <f>IF(COUNTIFS(Datos!$A$5:$A$228,A121,Datos!$B$5:$B$228,B121,Datos!$M$5:$M$228,1,Datos!$Q$5:$Q$228,"&gt;0")=0,"Pendiente GPS",_xlfn.MAXIFS(Datos!$Q$5:$Q$228,Datos!$A$5:$A$228,A121,Datos!$B$5:$B$228,B121,Datos!$M$5:$M$228,1))</f>
        <v>Pendiente GPS</v>
      </c>
      <c r="H121" t="str">
        <f t="shared" si="14"/>
        <v>Sin registro</v>
      </c>
      <c r="I121" t="str">
        <f>IF(J121=0,"",SUMIFS(Datos!$F$5:$F$228,Datos!$A$5:$A$228,A121,Datos!$B$5:$B$228,B121,Datos!$M$5:$M$228,1))</f>
        <v/>
      </c>
      <c r="J121">
        <f>COUNTIFS(Datos!$A$5:$A$228,A121,Datos!$B$5:$B$228,B121,Datos!$M$5:$M$228,1)</f>
        <v>0</v>
      </c>
      <c r="L121" s="5">
        <f t="shared" si="15"/>
        <v>46278</v>
      </c>
      <c r="M121">
        <f t="shared" si="16"/>
        <v>6</v>
      </c>
    </row>
    <row r="122" spans="1:14">
      <c r="A122" s="5">
        <f>A41</f>
        <v>46284</v>
      </c>
      <c r="B122" t="s">
        <v>37</v>
      </c>
      <c r="C122" t="s">
        <v>36</v>
      </c>
      <c r="D122" s="8" t="str">
        <f>IF(J122=0,"",SUMIFS(Datos!$E$5:$E$228,Datos!$A$5:$A$228,A122,Datos!$B$5:$B$228,B122,Datos!$M$5:$M$228,1))</f>
        <v/>
      </c>
      <c r="E122" s="8" t="str">
        <f>IF(J122=0,"",SUMIFS(Datos!$G$5:$G$228,Datos!$A$5:$A$228,A122,Datos!$B$5:$B$228,B122,Datos!$M$5:$M$228,1))</f>
        <v/>
      </c>
      <c r="F122" s="8" t="str">
        <f t="shared" si="13"/>
        <v/>
      </c>
      <c r="G122" s="8" t="str">
        <f>IF(COUNTIFS(Datos!$A$5:$A$228,A122,Datos!$B$5:$B$228,B122,Datos!$M$5:$M$228,1,Datos!$Q$5:$Q$228,"&gt;0")=0,"Pendiente GPS",_xlfn.MAXIFS(Datos!$Q$5:$Q$228,Datos!$A$5:$A$228,A122,Datos!$B$5:$B$228,B122,Datos!$M$5:$M$228,1))</f>
        <v>Pendiente GPS</v>
      </c>
      <c r="H122" t="str">
        <f t="shared" si="14"/>
        <v>Sin registro</v>
      </c>
      <c r="I122" t="str">
        <f>IF(J122=0,"",SUMIFS(Datos!$F$5:$F$228,Datos!$A$5:$A$228,A122,Datos!$B$5:$B$228,B122,Datos!$M$5:$M$228,1))</f>
        <v/>
      </c>
      <c r="J122">
        <f>COUNTIFS(Datos!$A$5:$A$228,A122,Datos!$B$5:$B$228,B122,Datos!$M$5:$M$228,1)</f>
        <v>0</v>
      </c>
      <c r="L122" s="5">
        <f t="shared" si="15"/>
        <v>46279</v>
      </c>
      <c r="M122">
        <f t="shared" si="16"/>
        <v>6</v>
      </c>
    </row>
    <row r="123" spans="1:14">
      <c r="A123" s="5">
        <f>A41</f>
        <v>46284</v>
      </c>
      <c r="B123" t="s">
        <v>38</v>
      </c>
      <c r="C123" t="s">
        <v>39</v>
      </c>
      <c r="D123" s="8" t="str">
        <f>IF(J123=0,"",SUMIFS(Datos!$E$5:$E$228,Datos!$A$5:$A$228,A123,Datos!$B$5:$B$228,B123,Datos!$M$5:$M$228,1))</f>
        <v/>
      </c>
      <c r="E123" s="8" t="str">
        <f>IF(J123=0,"",SUMIFS(Datos!$G$5:$G$228,Datos!$A$5:$A$228,A123,Datos!$B$5:$B$228,B123,Datos!$M$5:$M$228,1))</f>
        <v/>
      </c>
      <c r="F123" s="8" t="str">
        <f t="shared" si="13"/>
        <v/>
      </c>
      <c r="G123" s="8" t="str">
        <f>IF(COUNTIFS(Datos!$A$5:$A$228,A123,Datos!$B$5:$B$228,B123,Datos!$M$5:$M$228,1,Datos!$Q$5:$Q$228,"&gt;0")=0,"Pendiente GPS",_xlfn.MAXIFS(Datos!$Q$5:$Q$228,Datos!$A$5:$A$228,A123,Datos!$B$5:$B$228,B123,Datos!$M$5:$M$228,1))</f>
        <v>Pendiente GPS</v>
      </c>
      <c r="H123" t="str">
        <f t="shared" si="14"/>
        <v>Sin registro</v>
      </c>
      <c r="I123" t="str">
        <f>IF(J123=0,"",SUMIFS(Datos!$F$5:$F$228,Datos!$A$5:$A$228,A123,Datos!$B$5:$B$228,B123,Datos!$M$5:$M$228,1))</f>
        <v/>
      </c>
      <c r="J123">
        <f>COUNTIFS(Datos!$A$5:$A$228,A123,Datos!$B$5:$B$228,B123,Datos!$M$5:$M$228,1)</f>
        <v>0</v>
      </c>
      <c r="L123" s="5">
        <f t="shared" si="15"/>
        <v>46280</v>
      </c>
      <c r="M123">
        <f t="shared" si="16"/>
        <v>6</v>
      </c>
    </row>
    <row r="124" spans="1:14">
      <c r="A124" s="5">
        <f>A41</f>
        <v>46284</v>
      </c>
      <c r="B124" t="s">
        <v>40</v>
      </c>
      <c r="C124" t="s">
        <v>41</v>
      </c>
      <c r="D124" s="8" t="str">
        <f>IF(J124=0,"",SUMIFS(Datos!$E$5:$E$228,Datos!$A$5:$A$228,A124,Datos!$B$5:$B$228,B124,Datos!$M$5:$M$228,1))</f>
        <v/>
      </c>
      <c r="E124" s="8" t="str">
        <f>IF(J124=0,"",SUMIFS(Datos!$G$5:$G$228,Datos!$A$5:$A$228,A124,Datos!$B$5:$B$228,B124,Datos!$M$5:$M$228,1))</f>
        <v/>
      </c>
      <c r="F124" s="8" t="str">
        <f t="shared" si="13"/>
        <v/>
      </c>
      <c r="G124" s="8" t="str">
        <f>IF(COUNTIFS(Datos!$A$5:$A$228,A124,Datos!$B$5:$B$228,B124,Datos!$M$5:$M$228,1,Datos!$Q$5:$Q$228,"&gt;0")=0,"Pendiente GPS",_xlfn.MAXIFS(Datos!$Q$5:$Q$228,Datos!$A$5:$A$228,A124,Datos!$B$5:$B$228,B124,Datos!$M$5:$M$228,1))</f>
        <v>Pendiente GPS</v>
      </c>
      <c r="H124" t="str">
        <f t="shared" si="14"/>
        <v>Sin registro</v>
      </c>
      <c r="I124" t="str">
        <f>IF(J124=0,"",SUMIFS(Datos!$F$5:$F$228,Datos!$A$5:$A$228,A124,Datos!$B$5:$B$228,B124,Datos!$M$5:$M$228,1))</f>
        <v/>
      </c>
      <c r="J124">
        <f>COUNTIFS(Datos!$A$5:$A$228,A124,Datos!$B$5:$B$228,B124,Datos!$M$5:$M$228,1)</f>
        <v>0</v>
      </c>
      <c r="L124" s="5">
        <f t="shared" si="15"/>
        <v>46281</v>
      </c>
      <c r="M124">
        <f t="shared" si="16"/>
        <v>4</v>
      </c>
    </row>
    <row r="125" spans="1:14">
      <c r="A125" s="5">
        <f>A42</f>
        <v>46285</v>
      </c>
      <c r="B125" t="s">
        <v>31</v>
      </c>
      <c r="C125" t="s">
        <v>8</v>
      </c>
      <c r="D125" s="8">
        <f>IF(J125=0,"",SUMIFS(Datos!$E$5:$E$228,Datos!$A$5:$A$228,A125,Datos!$B$5:$B$228,B125,Datos!$M$5:$M$228,1))</f>
        <v>117</v>
      </c>
      <c r="E125" s="8">
        <f>IF(J125=0,"",SUMIFS(Datos!$G$5:$G$228,Datos!$A$5:$A$228,A125,Datos!$B$5:$B$228,B125,Datos!$M$5:$M$228,1))</f>
        <v>7.7430000000000003</v>
      </c>
      <c r="F125" s="8">
        <f t="shared" si="13"/>
        <v>15.110422316931421</v>
      </c>
      <c r="G125" s="8" t="str">
        <f>IF(COUNTIFS(Datos!$A$5:$A$228,A125,Datos!$B$5:$B$228,B125,Datos!$M$5:$M$228,1,Datos!$Q$5:$Q$228,"&gt;0")=0,"Pendiente GPS",_xlfn.MAXIFS(Datos!$Q$5:$Q$228,Datos!$A$5:$A$228,A125,Datos!$B$5:$B$228,B125,Datos!$M$5:$M$228,1))</f>
        <v>Pendiente GPS</v>
      </c>
      <c r="H125" t="str">
        <f t="shared" si="14"/>
        <v>Movimiento</v>
      </c>
      <c r="I125">
        <f>IF(J125=0,"",SUMIFS(Datos!$F$5:$F$228,Datos!$A$5:$A$228,A125,Datos!$B$5:$B$228,B125,Datos!$M$5:$M$228,1))</f>
        <v>13.6</v>
      </c>
      <c r="J125">
        <f>COUNTIFS(Datos!$A$5:$A$228,A125,Datos!$B$5:$B$228,B125,Datos!$M$5:$M$228,1)</f>
        <v>2</v>
      </c>
      <c r="L125" s="5">
        <f t="shared" si="15"/>
        <v>46282</v>
      </c>
      <c r="M125">
        <f t="shared" si="16"/>
        <v>6</v>
      </c>
    </row>
    <row r="126" spans="1:14">
      <c r="A126" s="5">
        <f>A42</f>
        <v>46285</v>
      </c>
      <c r="B126" t="s">
        <v>32</v>
      </c>
      <c r="C126" t="s">
        <v>8</v>
      </c>
      <c r="D126" s="8">
        <f>IF(J126=0,"",SUMIFS(Datos!$E$5:$E$228,Datos!$A$5:$A$228,A126,Datos!$B$5:$B$228,B126,Datos!$M$5:$M$228,1))</f>
        <v>139</v>
      </c>
      <c r="E126" s="8">
        <f>IF(J126=0,"",SUMIFS(Datos!$G$5:$G$228,Datos!$A$5:$A$228,A126,Datos!$B$5:$B$228,B126,Datos!$M$5:$M$228,1))</f>
        <v>9.3030000000000008</v>
      </c>
      <c r="F126" s="8">
        <f t="shared" si="13"/>
        <v>14.941416747285821</v>
      </c>
      <c r="G126" s="8" t="str">
        <f>IF(COUNTIFS(Datos!$A$5:$A$228,A126,Datos!$B$5:$B$228,B126,Datos!$M$5:$M$228,1,Datos!$Q$5:$Q$228,"&gt;0")=0,"Pendiente GPS",_xlfn.MAXIFS(Datos!$Q$5:$Q$228,Datos!$A$5:$A$228,A126,Datos!$B$5:$B$228,B126,Datos!$M$5:$M$228,1))</f>
        <v>Pendiente GPS</v>
      </c>
      <c r="H126" t="str">
        <f t="shared" si="14"/>
        <v>Movimiento</v>
      </c>
      <c r="I126">
        <f>IF(J126=0,"",SUMIFS(Datos!$F$5:$F$228,Datos!$A$5:$A$228,A126,Datos!$B$5:$B$228,B126,Datos!$M$5:$M$228,1))</f>
        <v>14.5</v>
      </c>
      <c r="J126">
        <f>COUNTIFS(Datos!$A$5:$A$228,A126,Datos!$B$5:$B$228,B126,Datos!$M$5:$M$228,1)</f>
        <v>2</v>
      </c>
      <c r="L126" s="5">
        <f t="shared" si="15"/>
        <v>46283</v>
      </c>
      <c r="M126">
        <f t="shared" si="16"/>
        <v>6</v>
      </c>
    </row>
    <row r="127" spans="1:14">
      <c r="A127" s="5">
        <f>A42</f>
        <v>46285</v>
      </c>
      <c r="B127" t="s">
        <v>33</v>
      </c>
      <c r="C127" t="s">
        <v>8</v>
      </c>
      <c r="D127" s="8">
        <f>IF(J127=0,"",SUMIFS(Datos!$E$5:$E$228,Datos!$A$5:$A$228,A127,Datos!$B$5:$B$228,B127,Datos!$M$5:$M$228,1))</f>
        <v>143</v>
      </c>
      <c r="E127" s="8">
        <f>IF(J127=0,"",SUMIFS(Datos!$G$5:$G$228,Datos!$A$5:$A$228,A127,Datos!$B$5:$B$228,B127,Datos!$M$5:$M$228,1))</f>
        <v>9.5340000000000007</v>
      </c>
      <c r="F127" s="8">
        <f t="shared" si="13"/>
        <v>14.99895112229914</v>
      </c>
      <c r="G127" s="8" t="str">
        <f>IF(COUNTIFS(Datos!$A$5:$A$228,A127,Datos!$B$5:$B$228,B127,Datos!$M$5:$M$228,1,Datos!$Q$5:$Q$228,"&gt;0")=0,"Pendiente GPS",_xlfn.MAXIFS(Datos!$Q$5:$Q$228,Datos!$A$5:$A$228,A127,Datos!$B$5:$B$228,B127,Datos!$M$5:$M$228,1))</f>
        <v>Pendiente GPS</v>
      </c>
      <c r="H127" t="str">
        <f t="shared" si="14"/>
        <v>Movimiento</v>
      </c>
      <c r="I127">
        <f>IF(J127=0,"",SUMIFS(Datos!$F$5:$F$228,Datos!$A$5:$A$228,A127,Datos!$B$5:$B$228,B127,Datos!$M$5:$M$228,1))</f>
        <v>15.4</v>
      </c>
      <c r="J127">
        <f>COUNTIFS(Datos!$A$5:$A$228,A127,Datos!$B$5:$B$228,B127,Datos!$M$5:$M$228,1)</f>
        <v>2</v>
      </c>
      <c r="L127" s="5">
        <f t="shared" si="15"/>
        <v>46284</v>
      </c>
      <c r="M127">
        <f t="shared" si="16"/>
        <v>6</v>
      </c>
    </row>
    <row r="128" spans="1:14">
      <c r="A128" s="5">
        <f>A42</f>
        <v>46285</v>
      </c>
      <c r="B128" t="s">
        <v>34</v>
      </c>
      <c r="C128" t="s">
        <v>8</v>
      </c>
      <c r="D128" s="8">
        <f>IF(J128=0,"",SUMIFS(Datos!$E$5:$E$228,Datos!$A$5:$A$228,A128,Datos!$B$5:$B$228,B128,Datos!$M$5:$M$228,1))</f>
        <v>122</v>
      </c>
      <c r="E128" s="8">
        <f>IF(J128=0,"",SUMIFS(Datos!$G$5:$G$228,Datos!$A$5:$A$228,A128,Datos!$B$5:$B$228,B128,Datos!$M$5:$M$228,1))</f>
        <v>8.1359999999999992</v>
      </c>
      <c r="F128" s="8">
        <f t="shared" si="13"/>
        <v>14.995083579154377</v>
      </c>
      <c r="G128" s="8" t="str">
        <f>IF(COUNTIFS(Datos!$A$5:$A$228,A128,Datos!$B$5:$B$228,B128,Datos!$M$5:$M$228,1,Datos!$Q$5:$Q$228,"&gt;0")=0,"Pendiente GPS",_xlfn.MAXIFS(Datos!$Q$5:$Q$228,Datos!$A$5:$A$228,A128,Datos!$B$5:$B$228,B128,Datos!$M$5:$M$228,1))</f>
        <v>Pendiente GPS</v>
      </c>
      <c r="H128" t="str">
        <f t="shared" si="14"/>
        <v>Movimiento</v>
      </c>
      <c r="I128">
        <f>IF(J128=0,"",SUMIFS(Datos!$F$5:$F$228,Datos!$A$5:$A$228,A128,Datos!$B$5:$B$228,B128,Datos!$M$5:$M$228,1))</f>
        <v>13.8</v>
      </c>
      <c r="J128">
        <f>COUNTIFS(Datos!$A$5:$A$228,A128,Datos!$B$5:$B$228,B128,Datos!$M$5:$M$228,1)</f>
        <v>2</v>
      </c>
      <c r="L128" s="5">
        <f t="shared" si="15"/>
        <v>46285</v>
      </c>
      <c r="M128">
        <f t="shared" si="16"/>
        <v>4</v>
      </c>
    </row>
    <row r="129" spans="1:13">
      <c r="A129" s="5">
        <f>A42</f>
        <v>46285</v>
      </c>
      <c r="B129" t="s">
        <v>35</v>
      </c>
      <c r="C129" t="s">
        <v>36</v>
      </c>
      <c r="D129" s="8" t="str">
        <f>IF(J129=0,"",SUMIFS(Datos!$E$5:$E$228,Datos!$A$5:$A$228,A129,Datos!$B$5:$B$228,B129,Datos!$M$5:$M$228,1))</f>
        <v/>
      </c>
      <c r="E129" s="8" t="str">
        <f>IF(J129=0,"",SUMIFS(Datos!$G$5:$G$228,Datos!$A$5:$A$228,A129,Datos!$B$5:$B$228,B129,Datos!$M$5:$M$228,1))</f>
        <v/>
      </c>
      <c r="F129" s="8" t="str">
        <f t="shared" si="13"/>
        <v/>
      </c>
      <c r="G129" s="8" t="str">
        <f>IF(COUNTIFS(Datos!$A$5:$A$228,A129,Datos!$B$5:$B$228,B129,Datos!$M$5:$M$228,1,Datos!$Q$5:$Q$228,"&gt;0")=0,"Pendiente GPS",_xlfn.MAXIFS(Datos!$Q$5:$Q$228,Datos!$A$5:$A$228,A129,Datos!$B$5:$B$228,B129,Datos!$M$5:$M$228,1))</f>
        <v>Pendiente GPS</v>
      </c>
      <c r="H129" t="str">
        <f t="shared" si="14"/>
        <v>Sin registro</v>
      </c>
      <c r="I129" t="str">
        <f>IF(J129=0,"",SUMIFS(Datos!$F$5:$F$228,Datos!$A$5:$A$228,A129,Datos!$B$5:$B$228,B129,Datos!$M$5:$M$228,1))</f>
        <v/>
      </c>
      <c r="J129">
        <f>COUNTIFS(Datos!$A$5:$A$228,A129,Datos!$B$5:$B$228,B129,Datos!$M$5:$M$228,1)</f>
        <v>0</v>
      </c>
      <c r="L129" s="5">
        <f t="shared" si="15"/>
        <v>46286</v>
      </c>
      <c r="M129">
        <f t="shared" si="16"/>
        <v>6</v>
      </c>
    </row>
    <row r="130" spans="1:13">
      <c r="A130" s="5">
        <f>A42</f>
        <v>46285</v>
      </c>
      <c r="B130" t="s">
        <v>37</v>
      </c>
      <c r="C130" t="s">
        <v>36</v>
      </c>
      <c r="D130" s="8" t="str">
        <f>IF(J130=0,"",SUMIFS(Datos!$E$5:$E$228,Datos!$A$5:$A$228,A130,Datos!$B$5:$B$228,B130,Datos!$M$5:$M$228,1))</f>
        <v/>
      </c>
      <c r="E130" s="8" t="str">
        <f>IF(J130=0,"",SUMIFS(Datos!$G$5:$G$228,Datos!$A$5:$A$228,A130,Datos!$B$5:$B$228,B130,Datos!$M$5:$M$228,1))</f>
        <v/>
      </c>
      <c r="F130" s="8" t="str">
        <f t="shared" si="13"/>
        <v/>
      </c>
      <c r="G130" s="8" t="str">
        <f>IF(COUNTIFS(Datos!$A$5:$A$228,A130,Datos!$B$5:$B$228,B130,Datos!$M$5:$M$228,1,Datos!$Q$5:$Q$228,"&gt;0")=0,"Pendiente GPS",_xlfn.MAXIFS(Datos!$Q$5:$Q$228,Datos!$A$5:$A$228,A130,Datos!$B$5:$B$228,B130,Datos!$M$5:$M$228,1))</f>
        <v>Pendiente GPS</v>
      </c>
      <c r="H130" t="str">
        <f t="shared" si="14"/>
        <v>Sin registro</v>
      </c>
      <c r="I130" t="str">
        <f>IF(J130=0,"",SUMIFS(Datos!$F$5:$F$228,Datos!$A$5:$A$228,A130,Datos!$B$5:$B$228,B130,Datos!$M$5:$M$228,1))</f>
        <v/>
      </c>
      <c r="J130">
        <f>COUNTIFS(Datos!$A$5:$A$228,A130,Datos!$B$5:$B$228,B130,Datos!$M$5:$M$228,1)</f>
        <v>0</v>
      </c>
      <c r="L130" s="5">
        <f t="shared" si="15"/>
        <v>46287</v>
      </c>
      <c r="M130">
        <f t="shared" si="16"/>
        <v>6</v>
      </c>
    </row>
    <row r="131" spans="1:13">
      <c r="A131" s="5">
        <f>A42</f>
        <v>46285</v>
      </c>
      <c r="B131" t="s">
        <v>38</v>
      </c>
      <c r="C131" t="s">
        <v>39</v>
      </c>
      <c r="D131" s="8" t="str">
        <f>IF(J131=0,"",SUMIFS(Datos!$E$5:$E$228,Datos!$A$5:$A$228,A131,Datos!$B$5:$B$228,B131,Datos!$M$5:$M$228,1))</f>
        <v/>
      </c>
      <c r="E131" s="8" t="str">
        <f>IF(J131=0,"",SUMIFS(Datos!$G$5:$G$228,Datos!$A$5:$A$228,A131,Datos!$B$5:$B$228,B131,Datos!$M$5:$M$228,1))</f>
        <v/>
      </c>
      <c r="F131" s="8" t="str">
        <f t="shared" si="13"/>
        <v/>
      </c>
      <c r="G131" s="8" t="str">
        <f>IF(COUNTIFS(Datos!$A$5:$A$228,A131,Datos!$B$5:$B$228,B131,Datos!$M$5:$M$228,1,Datos!$Q$5:$Q$228,"&gt;0")=0,"Pendiente GPS",_xlfn.MAXIFS(Datos!$Q$5:$Q$228,Datos!$A$5:$A$228,A131,Datos!$B$5:$B$228,B131,Datos!$M$5:$M$228,1))</f>
        <v>Pendiente GPS</v>
      </c>
      <c r="H131" t="str">
        <f t="shared" si="14"/>
        <v>Sin registro</v>
      </c>
      <c r="I131" t="str">
        <f>IF(J131=0,"",SUMIFS(Datos!$F$5:$F$228,Datos!$A$5:$A$228,A131,Datos!$B$5:$B$228,B131,Datos!$M$5:$M$228,1))</f>
        <v/>
      </c>
      <c r="J131">
        <f>COUNTIFS(Datos!$A$5:$A$228,A131,Datos!$B$5:$B$228,B131,Datos!$M$5:$M$228,1)</f>
        <v>0</v>
      </c>
      <c r="L131" s="5">
        <f t="shared" si="15"/>
        <v>46288</v>
      </c>
      <c r="M131">
        <f t="shared" si="16"/>
        <v>6</v>
      </c>
    </row>
    <row r="132" spans="1:13">
      <c r="A132" s="5">
        <f>A42</f>
        <v>46285</v>
      </c>
      <c r="B132" t="s">
        <v>40</v>
      </c>
      <c r="C132" t="s">
        <v>41</v>
      </c>
      <c r="D132" s="8" t="str">
        <f>IF(J132=0,"",SUMIFS(Datos!$E$5:$E$228,Datos!$A$5:$A$228,A132,Datos!$B$5:$B$228,B132,Datos!$M$5:$M$228,1))</f>
        <v/>
      </c>
      <c r="E132" s="8" t="str">
        <f>IF(J132=0,"",SUMIFS(Datos!$G$5:$G$228,Datos!$A$5:$A$228,A132,Datos!$B$5:$B$228,B132,Datos!$M$5:$M$228,1))</f>
        <v/>
      </c>
      <c r="F132" s="8" t="str">
        <f t="shared" si="13"/>
        <v/>
      </c>
      <c r="G132" s="8" t="str">
        <f>IF(COUNTIFS(Datos!$A$5:$A$228,A132,Datos!$B$5:$B$228,B132,Datos!$M$5:$M$228,1,Datos!$Q$5:$Q$228,"&gt;0")=0,"Pendiente GPS",_xlfn.MAXIFS(Datos!$Q$5:$Q$228,Datos!$A$5:$A$228,A132,Datos!$B$5:$B$228,B132,Datos!$M$5:$M$228,1))</f>
        <v>Pendiente GPS</v>
      </c>
      <c r="H132" t="str">
        <f t="shared" si="14"/>
        <v>Sin registro</v>
      </c>
      <c r="I132" t="str">
        <f>IF(J132=0,"",SUMIFS(Datos!$F$5:$F$228,Datos!$A$5:$A$228,A132,Datos!$B$5:$B$228,B132,Datos!$M$5:$M$228,1))</f>
        <v/>
      </c>
      <c r="J132">
        <f>COUNTIFS(Datos!$A$5:$A$228,A132,Datos!$B$5:$B$228,B132,Datos!$M$5:$M$228,1)</f>
        <v>0</v>
      </c>
      <c r="L132" s="5">
        <f t="shared" si="15"/>
        <v>46289</v>
      </c>
      <c r="M132">
        <f t="shared" si="16"/>
        <v>4</v>
      </c>
    </row>
    <row r="133" spans="1:13">
      <c r="A133" s="5">
        <f>A43</f>
        <v>46286</v>
      </c>
      <c r="B133" t="s">
        <v>31</v>
      </c>
      <c r="C133" t="s">
        <v>8</v>
      </c>
      <c r="D133" s="8">
        <f>IF(J133=0,"",SUMIFS(Datos!$E$5:$E$228,Datos!$A$5:$A$228,A133,Datos!$B$5:$B$228,B133,Datos!$M$5:$M$228,1))</f>
        <v>144</v>
      </c>
      <c r="E133" s="8">
        <f>IF(J133=0,"",SUMIFS(Datos!$G$5:$G$228,Datos!$A$5:$A$228,A133,Datos!$B$5:$B$228,B133,Datos!$M$5:$M$228,1))</f>
        <v>9.597999999999999</v>
      </c>
      <c r="F133" s="8">
        <f t="shared" si="13"/>
        <v>15.00312565117733</v>
      </c>
      <c r="G133" s="8" t="str">
        <f>IF(COUNTIFS(Datos!$A$5:$A$228,A133,Datos!$B$5:$B$228,B133,Datos!$M$5:$M$228,1,Datos!$Q$5:$Q$228,"&gt;0")=0,"Pendiente GPS",_xlfn.MAXIFS(Datos!$Q$5:$Q$228,Datos!$A$5:$A$228,A133,Datos!$B$5:$B$228,B133,Datos!$M$5:$M$228,1))</f>
        <v>Pendiente GPS</v>
      </c>
      <c r="H133" t="str">
        <f t="shared" si="14"/>
        <v>Movimiento</v>
      </c>
      <c r="I133">
        <f>IF(J133=0,"",SUMIFS(Datos!$F$5:$F$228,Datos!$A$5:$A$228,A133,Datos!$B$5:$B$228,B133,Datos!$M$5:$M$228,1))</f>
        <v>15</v>
      </c>
      <c r="J133">
        <f>COUNTIFS(Datos!$A$5:$A$228,A133,Datos!$B$5:$B$228,B133,Datos!$M$5:$M$228,1)</f>
        <v>2</v>
      </c>
      <c r="L133" s="5">
        <f t="shared" si="15"/>
        <v>46290</v>
      </c>
      <c r="M133">
        <f t="shared" si="16"/>
        <v>0</v>
      </c>
    </row>
    <row r="134" spans="1:13">
      <c r="A134" s="5">
        <f>A43</f>
        <v>46286</v>
      </c>
      <c r="B134" t="s">
        <v>32</v>
      </c>
      <c r="C134" t="s">
        <v>8</v>
      </c>
      <c r="D134" s="8">
        <f>IF(J134=0,"",SUMIFS(Datos!$E$5:$E$228,Datos!$A$5:$A$228,A134,Datos!$B$5:$B$228,B134,Datos!$M$5:$M$228,1))</f>
        <v>122</v>
      </c>
      <c r="E134" s="8">
        <f>IF(J134=0,"",SUMIFS(Datos!$G$5:$G$228,Datos!$A$5:$A$228,A134,Datos!$B$5:$B$228,B134,Datos!$M$5:$M$228,1))</f>
        <v>8.1640000000000015</v>
      </c>
      <c r="F134" s="8">
        <f t="shared" si="13"/>
        <v>14.943655071043603</v>
      </c>
      <c r="G134" s="8" t="str">
        <f>IF(COUNTIFS(Datos!$A$5:$A$228,A134,Datos!$B$5:$B$228,B134,Datos!$M$5:$M$228,1,Datos!$Q$5:$Q$228,"&gt;0")=0,"Pendiente GPS",_xlfn.MAXIFS(Datos!$Q$5:$Q$228,Datos!$A$5:$A$228,A134,Datos!$B$5:$B$228,B134,Datos!$M$5:$M$228,1))</f>
        <v>Pendiente GPS</v>
      </c>
      <c r="H134" t="str">
        <f t="shared" si="14"/>
        <v>Movimiento</v>
      </c>
      <c r="I134">
        <f>IF(J134=0,"",SUMIFS(Datos!$F$5:$F$228,Datos!$A$5:$A$228,A134,Datos!$B$5:$B$228,B134,Datos!$M$5:$M$228,1))</f>
        <v>13.4</v>
      </c>
      <c r="J134">
        <f>COUNTIFS(Datos!$A$5:$A$228,A134,Datos!$B$5:$B$228,B134,Datos!$M$5:$M$228,1)</f>
        <v>2</v>
      </c>
      <c r="L134" s="5">
        <f t="shared" si="15"/>
        <v>46291</v>
      </c>
      <c r="M134">
        <f t="shared" si="16"/>
        <v>0</v>
      </c>
    </row>
    <row r="135" spans="1:13">
      <c r="A135" s="5">
        <f>A43</f>
        <v>46286</v>
      </c>
      <c r="B135" t="s">
        <v>33</v>
      </c>
      <c r="C135" t="s">
        <v>8</v>
      </c>
      <c r="D135" s="8">
        <f>IF(J135=0,"",SUMIFS(Datos!$E$5:$E$228,Datos!$A$5:$A$228,A135,Datos!$B$5:$B$228,B135,Datos!$M$5:$M$228,1))</f>
        <v>126</v>
      </c>
      <c r="E135" s="8">
        <f>IF(J135=0,"",SUMIFS(Datos!$G$5:$G$228,Datos!$A$5:$A$228,A135,Datos!$B$5:$B$228,B135,Datos!$M$5:$M$228,1))</f>
        <v>8.4260000000000002</v>
      </c>
      <c r="F135" s="8">
        <f t="shared" si="13"/>
        <v>14.953714692618087</v>
      </c>
      <c r="G135" s="8" t="str">
        <f>IF(COUNTIFS(Datos!$A$5:$A$228,A135,Datos!$B$5:$B$228,B135,Datos!$M$5:$M$228,1,Datos!$Q$5:$Q$228,"&gt;0")=0,"Pendiente GPS",_xlfn.MAXIFS(Datos!$Q$5:$Q$228,Datos!$A$5:$A$228,A135,Datos!$B$5:$B$228,B135,Datos!$M$5:$M$228,1))</f>
        <v>Pendiente GPS</v>
      </c>
      <c r="H135" t="str">
        <f t="shared" si="14"/>
        <v>Movimiento</v>
      </c>
      <c r="I135">
        <f>IF(J135=0,"",SUMIFS(Datos!$F$5:$F$228,Datos!$A$5:$A$228,A135,Datos!$B$5:$B$228,B135,Datos!$M$5:$M$228,1))</f>
        <v>14.3</v>
      </c>
      <c r="J135">
        <f>COUNTIFS(Datos!$A$5:$A$228,A135,Datos!$B$5:$B$228,B135,Datos!$M$5:$M$228,1)</f>
        <v>2</v>
      </c>
    </row>
    <row r="136" spans="1:13">
      <c r="A136" s="5">
        <f>A43</f>
        <v>46286</v>
      </c>
      <c r="B136" t="s">
        <v>34</v>
      </c>
      <c r="C136" t="s">
        <v>8</v>
      </c>
      <c r="D136" s="8">
        <f>IF(J136=0,"",SUMIFS(Datos!$E$5:$E$228,Datos!$A$5:$A$228,A136,Datos!$B$5:$B$228,B136,Datos!$M$5:$M$228,1))</f>
        <v>150</v>
      </c>
      <c r="E136" s="8">
        <f>IF(J136=0,"",SUMIFS(Datos!$G$5:$G$228,Datos!$A$5:$A$228,A136,Datos!$B$5:$B$228,B136,Datos!$M$5:$M$228,1))</f>
        <v>10.019000000000002</v>
      </c>
      <c r="F136" s="8">
        <f t="shared" si="13"/>
        <v>14.971554047310107</v>
      </c>
      <c r="G136" s="8" t="str">
        <f>IF(COUNTIFS(Datos!$A$5:$A$228,A136,Datos!$B$5:$B$228,B136,Datos!$M$5:$M$228,1,Datos!$Q$5:$Q$228,"&gt;0")=0,"Pendiente GPS",_xlfn.MAXIFS(Datos!$Q$5:$Q$228,Datos!$A$5:$A$228,A136,Datos!$B$5:$B$228,B136,Datos!$M$5:$M$228,1))</f>
        <v>Pendiente GPS</v>
      </c>
      <c r="H136" t="str">
        <f t="shared" si="14"/>
        <v>Movimiento</v>
      </c>
      <c r="I136">
        <f>IF(J136=0,"",SUMIFS(Datos!$F$5:$F$228,Datos!$A$5:$A$228,A136,Datos!$B$5:$B$228,B136,Datos!$M$5:$M$228,1))</f>
        <v>15.200000000000001</v>
      </c>
      <c r="J136">
        <f>COUNTIFS(Datos!$A$5:$A$228,A136,Datos!$B$5:$B$228,B136,Datos!$M$5:$M$228,1)</f>
        <v>2</v>
      </c>
    </row>
    <row r="137" spans="1:13">
      <c r="A137" s="5">
        <f>A43</f>
        <v>46286</v>
      </c>
      <c r="B137" t="s">
        <v>35</v>
      </c>
      <c r="C137" t="s">
        <v>36</v>
      </c>
      <c r="D137" s="8" t="str">
        <f>IF(J137=0,"",SUMIFS(Datos!$E$5:$E$228,Datos!$A$5:$A$228,A137,Datos!$B$5:$B$228,B137,Datos!$M$5:$M$228,1))</f>
        <v/>
      </c>
      <c r="E137" s="8" t="str">
        <f>IF(J137=0,"",SUMIFS(Datos!$G$5:$G$228,Datos!$A$5:$A$228,A137,Datos!$B$5:$B$228,B137,Datos!$M$5:$M$228,1))</f>
        <v/>
      </c>
      <c r="F137" s="8" t="str">
        <f t="shared" si="13"/>
        <v/>
      </c>
      <c r="G137" s="8" t="str">
        <f>IF(COUNTIFS(Datos!$A$5:$A$228,A137,Datos!$B$5:$B$228,B137,Datos!$M$5:$M$228,1,Datos!$Q$5:$Q$228,"&gt;0")=0,"Pendiente GPS",_xlfn.MAXIFS(Datos!$Q$5:$Q$228,Datos!$A$5:$A$228,A137,Datos!$B$5:$B$228,B137,Datos!$M$5:$M$228,1))</f>
        <v>Pendiente GPS</v>
      </c>
      <c r="H137" t="str">
        <f t="shared" si="14"/>
        <v>Sin registro</v>
      </c>
      <c r="I137" t="str">
        <f>IF(J137=0,"",SUMIFS(Datos!$F$5:$F$228,Datos!$A$5:$A$228,A137,Datos!$B$5:$B$228,B137,Datos!$M$5:$M$228,1))</f>
        <v/>
      </c>
      <c r="J137">
        <f>COUNTIFS(Datos!$A$5:$A$228,A137,Datos!$B$5:$B$228,B137,Datos!$M$5:$M$228,1)</f>
        <v>0</v>
      </c>
      <c r="L137" s="10" t="s">
        <v>59</v>
      </c>
      <c r="M137" s="10" t="s">
        <v>60</v>
      </c>
    </row>
    <row r="138" spans="1:13">
      <c r="A138" s="5">
        <f>A43</f>
        <v>46286</v>
      </c>
      <c r="B138" t="s">
        <v>37</v>
      </c>
      <c r="C138" t="s">
        <v>36</v>
      </c>
      <c r="D138" s="8" t="str">
        <f>IF(J138=0,"",SUMIFS(Datos!$E$5:$E$228,Datos!$A$5:$A$228,A138,Datos!$B$5:$B$228,B138,Datos!$M$5:$M$228,1))</f>
        <v/>
      </c>
      <c r="E138" s="8" t="str">
        <f>IF(J138=0,"",SUMIFS(Datos!$G$5:$G$228,Datos!$A$5:$A$228,A138,Datos!$B$5:$B$228,B138,Datos!$M$5:$M$228,1))</f>
        <v/>
      </c>
      <c r="F138" s="8" t="str">
        <f t="shared" si="13"/>
        <v/>
      </c>
      <c r="G138" s="8" t="str">
        <f>IF(COUNTIFS(Datos!$A$5:$A$228,A138,Datos!$B$5:$B$228,B138,Datos!$M$5:$M$228,1,Datos!$Q$5:$Q$228,"&gt;0")=0,"Pendiente GPS",_xlfn.MAXIFS(Datos!$Q$5:$Q$228,Datos!$A$5:$A$228,A138,Datos!$B$5:$B$228,B138,Datos!$M$5:$M$228,1))</f>
        <v>Pendiente GPS</v>
      </c>
      <c r="H138" t="str">
        <f t="shared" si="14"/>
        <v>Sin registro</v>
      </c>
      <c r="I138" t="str">
        <f>IF(J138=0,"",SUMIFS(Datos!$F$5:$F$228,Datos!$A$5:$A$228,A138,Datos!$B$5:$B$228,B138,Datos!$M$5:$M$228,1))</f>
        <v/>
      </c>
      <c r="J138">
        <f>COUNTIFS(Datos!$A$5:$A$228,A138,Datos!$B$5:$B$228,B138,Datos!$M$5:$M$228,1)</f>
        <v>0</v>
      </c>
      <c r="L138" t="s">
        <v>61</v>
      </c>
      <c r="M138">
        <f ca="1">A12</f>
        <v>0</v>
      </c>
    </row>
    <row r="139" spans="1:13">
      <c r="A139" s="5">
        <f>A43</f>
        <v>46286</v>
      </c>
      <c r="B139" t="s">
        <v>38</v>
      </c>
      <c r="C139" t="s">
        <v>39</v>
      </c>
      <c r="D139" s="8" t="str">
        <f>IF(J139=0,"",SUMIFS(Datos!$E$5:$E$228,Datos!$A$5:$A$228,A139,Datos!$B$5:$B$228,B139,Datos!$M$5:$M$228,1))</f>
        <v/>
      </c>
      <c r="E139" s="8" t="str">
        <f>IF(J139=0,"",SUMIFS(Datos!$G$5:$G$228,Datos!$A$5:$A$228,A139,Datos!$B$5:$B$228,B139,Datos!$M$5:$M$228,1))</f>
        <v/>
      </c>
      <c r="F139" s="8" t="str">
        <f t="shared" si="13"/>
        <v/>
      </c>
      <c r="G139" s="8" t="str">
        <f>IF(COUNTIFS(Datos!$A$5:$A$228,A139,Datos!$B$5:$B$228,B139,Datos!$M$5:$M$228,1,Datos!$Q$5:$Q$228,"&gt;0")=0,"Pendiente GPS",_xlfn.MAXIFS(Datos!$Q$5:$Q$228,Datos!$A$5:$A$228,A139,Datos!$B$5:$B$228,B139,Datos!$M$5:$M$228,1))</f>
        <v>Pendiente GPS</v>
      </c>
      <c r="H139" t="str">
        <f t="shared" si="14"/>
        <v>Sin registro</v>
      </c>
      <c r="I139" t="str">
        <f>IF(J139=0,"",SUMIFS(Datos!$F$5:$F$228,Datos!$A$5:$A$228,A139,Datos!$B$5:$B$228,B139,Datos!$M$5:$M$228,1))</f>
        <v/>
      </c>
      <c r="J139">
        <f>COUNTIFS(Datos!$A$5:$A$228,A139,Datos!$B$5:$B$228,B139,Datos!$M$5:$M$228,1)</f>
        <v>0</v>
      </c>
      <c r="L139" t="s">
        <v>62</v>
      </c>
      <c r="M139">
        <f ca="1">D12</f>
        <v>0</v>
      </c>
    </row>
    <row r="140" spans="1:13">
      <c r="A140" s="5">
        <f>A43</f>
        <v>46286</v>
      </c>
      <c r="B140" t="s">
        <v>40</v>
      </c>
      <c r="C140" t="s">
        <v>41</v>
      </c>
      <c r="D140" s="8" t="str">
        <f>IF(J140=0,"",SUMIFS(Datos!$E$5:$E$228,Datos!$A$5:$A$228,A140,Datos!$B$5:$B$228,B140,Datos!$M$5:$M$228,1))</f>
        <v/>
      </c>
      <c r="E140" s="8" t="str">
        <f>IF(J140=0,"",SUMIFS(Datos!$G$5:$G$228,Datos!$A$5:$A$228,A140,Datos!$B$5:$B$228,B140,Datos!$M$5:$M$228,1))</f>
        <v/>
      </c>
      <c r="F140" s="8" t="str">
        <f t="shared" si="13"/>
        <v/>
      </c>
      <c r="G140" s="8" t="str">
        <f>IF(COUNTIFS(Datos!$A$5:$A$228,A140,Datos!$B$5:$B$228,B140,Datos!$M$5:$M$228,1,Datos!$Q$5:$Q$228,"&gt;0")=0,"Pendiente GPS",_xlfn.MAXIFS(Datos!$Q$5:$Q$228,Datos!$A$5:$A$228,A140,Datos!$B$5:$B$228,B140,Datos!$M$5:$M$228,1))</f>
        <v>Pendiente GPS</v>
      </c>
      <c r="H140" t="str">
        <f t="shared" si="14"/>
        <v>Sin registro</v>
      </c>
      <c r="I140" t="str">
        <f>IF(J140=0,"",SUMIFS(Datos!$F$5:$F$228,Datos!$A$5:$A$228,A140,Datos!$B$5:$B$228,B140,Datos!$M$5:$M$228,1))</f>
        <v/>
      </c>
      <c r="J140">
        <f>COUNTIFS(Datos!$A$5:$A$228,A140,Datos!$B$5:$B$228,B140,Datos!$M$5:$M$228,1)</f>
        <v>0</v>
      </c>
      <c r="L140" t="s">
        <v>63</v>
      </c>
      <c r="M140">
        <f ca="1">G12</f>
        <v>4</v>
      </c>
    </row>
    <row r="141" spans="1:13">
      <c r="A141" s="5">
        <f>A44</f>
        <v>46287</v>
      </c>
      <c r="B141" t="s">
        <v>31</v>
      </c>
      <c r="C141" t="s">
        <v>8</v>
      </c>
      <c r="D141" s="8">
        <f>IF(J141=0,"",SUMIFS(Datos!$E$5:$E$228,Datos!$A$5:$A$228,A141,Datos!$B$5:$B$228,B141,Datos!$M$5:$M$228,1))</f>
        <v>127</v>
      </c>
      <c r="E141" s="8">
        <f>IF(J141=0,"",SUMIFS(Datos!$G$5:$G$228,Datos!$A$5:$A$228,A141,Datos!$B$5:$B$228,B141,Datos!$M$5:$M$228,1))</f>
        <v>8.4990000000000006</v>
      </c>
      <c r="F141" s="8">
        <f t="shared" si="13"/>
        <v>14.942934462877984</v>
      </c>
      <c r="G141" s="8" t="str">
        <f>IF(COUNTIFS(Datos!$A$5:$A$228,A141,Datos!$B$5:$B$228,B141,Datos!$M$5:$M$228,1,Datos!$Q$5:$Q$228,"&gt;0")=0,"Pendiente GPS",_xlfn.MAXIFS(Datos!$Q$5:$Q$228,Datos!$A$5:$A$228,A141,Datos!$B$5:$B$228,B141,Datos!$M$5:$M$228,1))</f>
        <v>Pendiente GPS</v>
      </c>
      <c r="H141" t="str">
        <f t="shared" si="14"/>
        <v>Movimiento</v>
      </c>
      <c r="I141">
        <f>IF(J141=0,"",SUMIFS(Datos!$F$5:$F$228,Datos!$A$5:$A$228,A141,Datos!$B$5:$B$228,B141,Datos!$M$5:$M$228,1))</f>
        <v>13.9</v>
      </c>
      <c r="J141">
        <f>COUNTIFS(Datos!$A$5:$A$228,A141,Datos!$B$5:$B$228,B141,Datos!$M$5:$M$228,1)</f>
        <v>2</v>
      </c>
    </row>
    <row r="142" spans="1:13">
      <c r="A142" s="5">
        <f>A44</f>
        <v>46287</v>
      </c>
      <c r="B142" t="s">
        <v>32</v>
      </c>
      <c r="C142" t="s">
        <v>8</v>
      </c>
      <c r="D142" s="8">
        <f>IF(J142=0,"",SUMIFS(Datos!$E$5:$E$228,Datos!$A$5:$A$228,A142,Datos!$B$5:$B$228,B142,Datos!$M$5:$M$228,1))</f>
        <v>131</v>
      </c>
      <c r="E142" s="8">
        <f>IF(J142=0,"",SUMIFS(Datos!$G$5:$G$228,Datos!$A$5:$A$228,A142,Datos!$B$5:$B$228,B142,Datos!$M$5:$M$228,1))</f>
        <v>8.7210000000000001</v>
      </c>
      <c r="F142" s="8">
        <f t="shared" si="13"/>
        <v>15.021213163628024</v>
      </c>
      <c r="G142" s="8" t="str">
        <f>IF(COUNTIFS(Datos!$A$5:$A$228,A142,Datos!$B$5:$B$228,B142,Datos!$M$5:$M$228,1,Datos!$Q$5:$Q$228,"&gt;0")=0,"Pendiente GPS",_xlfn.MAXIFS(Datos!$Q$5:$Q$228,Datos!$A$5:$A$228,A142,Datos!$B$5:$B$228,B142,Datos!$M$5:$M$228,1))</f>
        <v>Pendiente GPS</v>
      </c>
      <c r="H142" t="str">
        <f t="shared" si="14"/>
        <v>Movimiento</v>
      </c>
      <c r="I142">
        <f>IF(J142=0,"",SUMIFS(Datos!$F$5:$F$228,Datos!$A$5:$A$228,A142,Datos!$B$5:$B$228,B142,Datos!$M$5:$M$228,1))</f>
        <v>14.8</v>
      </c>
      <c r="J142">
        <f>COUNTIFS(Datos!$A$5:$A$228,A142,Datos!$B$5:$B$228,B142,Datos!$M$5:$M$228,1)</f>
        <v>2</v>
      </c>
    </row>
    <row r="143" spans="1:13">
      <c r="A143" s="5">
        <f>A44</f>
        <v>46287</v>
      </c>
      <c r="B143" t="s">
        <v>33</v>
      </c>
      <c r="C143" t="s">
        <v>8</v>
      </c>
      <c r="D143" s="8">
        <f>IF(J143=0,"",SUMIFS(Datos!$E$5:$E$228,Datos!$A$5:$A$228,A143,Datos!$B$5:$B$228,B143,Datos!$M$5:$M$228,1))</f>
        <v>155</v>
      </c>
      <c r="E143" s="8">
        <f>IF(J143=0,"",SUMIFS(Datos!$G$5:$G$228,Datos!$A$5:$A$228,A143,Datos!$B$5:$B$228,B143,Datos!$M$5:$M$228,1))</f>
        <v>10.343999999999999</v>
      </c>
      <c r="F143" s="8">
        <f t="shared" si="13"/>
        <v>14.984532095901006</v>
      </c>
      <c r="G143" s="8" t="str">
        <f>IF(COUNTIFS(Datos!$A$5:$A$228,A143,Datos!$B$5:$B$228,B143,Datos!$M$5:$M$228,1,Datos!$Q$5:$Q$228,"&gt;0")=0,"Pendiente GPS",_xlfn.MAXIFS(Datos!$Q$5:$Q$228,Datos!$A$5:$A$228,A143,Datos!$B$5:$B$228,B143,Datos!$M$5:$M$228,1))</f>
        <v>Pendiente GPS</v>
      </c>
      <c r="H143" t="str">
        <f t="shared" si="14"/>
        <v>Movimiento</v>
      </c>
      <c r="I143">
        <f>IF(J143=0,"",SUMIFS(Datos!$F$5:$F$228,Datos!$A$5:$A$228,A143,Datos!$B$5:$B$228,B143,Datos!$M$5:$M$228,1))</f>
        <v>15.7</v>
      </c>
      <c r="J143">
        <f>COUNTIFS(Datos!$A$5:$A$228,A143,Datos!$B$5:$B$228,B143,Datos!$M$5:$M$228,1)</f>
        <v>2</v>
      </c>
    </row>
    <row r="144" spans="1:13">
      <c r="A144" s="5">
        <f>A44</f>
        <v>46287</v>
      </c>
      <c r="B144" t="s">
        <v>34</v>
      </c>
      <c r="C144" t="s">
        <v>8</v>
      </c>
      <c r="D144" s="8">
        <f>IF(J144=0,"",SUMIFS(Datos!$E$5:$E$228,Datos!$A$5:$A$228,A144,Datos!$B$5:$B$228,B144,Datos!$M$5:$M$228,1))</f>
        <v>134</v>
      </c>
      <c r="E144" s="8">
        <f>IF(J144=0,"",SUMIFS(Datos!$G$5:$G$228,Datos!$A$5:$A$228,A144,Datos!$B$5:$B$228,B144,Datos!$M$5:$M$228,1))</f>
        <v>8.8730000000000011</v>
      </c>
      <c r="F144" s="8">
        <f t="shared" si="13"/>
        <v>15.101994815733121</v>
      </c>
      <c r="G144" s="8" t="str">
        <f>IF(COUNTIFS(Datos!$A$5:$A$228,A144,Datos!$B$5:$B$228,B144,Datos!$M$5:$M$228,1,Datos!$Q$5:$Q$228,"&gt;0")=0,"Pendiente GPS",_xlfn.MAXIFS(Datos!$Q$5:$Q$228,Datos!$A$5:$A$228,A144,Datos!$B$5:$B$228,B144,Datos!$M$5:$M$228,1))</f>
        <v>Pendiente GPS</v>
      </c>
      <c r="H144" t="str">
        <f t="shared" si="14"/>
        <v>Movimiento</v>
      </c>
      <c r="I144">
        <f>IF(J144=0,"",SUMIFS(Datos!$F$5:$F$228,Datos!$A$5:$A$228,A144,Datos!$B$5:$B$228,B144,Datos!$M$5:$M$228,1))</f>
        <v>14.1</v>
      </c>
      <c r="J144">
        <f>COUNTIFS(Datos!$A$5:$A$228,A144,Datos!$B$5:$B$228,B144,Datos!$M$5:$M$228,1)</f>
        <v>2</v>
      </c>
    </row>
    <row r="145" spans="1:10">
      <c r="A145" s="5">
        <f>A44</f>
        <v>46287</v>
      </c>
      <c r="B145" t="s">
        <v>35</v>
      </c>
      <c r="C145" t="s">
        <v>36</v>
      </c>
      <c r="D145" s="8" t="str">
        <f>IF(J145=0,"",SUMIFS(Datos!$E$5:$E$228,Datos!$A$5:$A$228,A145,Datos!$B$5:$B$228,B145,Datos!$M$5:$M$228,1))</f>
        <v/>
      </c>
      <c r="E145" s="8" t="str">
        <f>IF(J145=0,"",SUMIFS(Datos!$G$5:$G$228,Datos!$A$5:$A$228,A145,Datos!$B$5:$B$228,B145,Datos!$M$5:$M$228,1))</f>
        <v/>
      </c>
      <c r="F145" s="8" t="str">
        <f t="shared" si="13"/>
        <v/>
      </c>
      <c r="G145" s="8" t="str">
        <f>IF(COUNTIFS(Datos!$A$5:$A$228,A145,Datos!$B$5:$B$228,B145,Datos!$M$5:$M$228,1,Datos!$Q$5:$Q$228,"&gt;0")=0,"Pendiente GPS",_xlfn.MAXIFS(Datos!$Q$5:$Q$228,Datos!$A$5:$A$228,A145,Datos!$B$5:$B$228,B145,Datos!$M$5:$M$228,1))</f>
        <v>Pendiente GPS</v>
      </c>
      <c r="H145" t="str">
        <f t="shared" si="14"/>
        <v>Sin registro</v>
      </c>
      <c r="I145" t="str">
        <f>IF(J145=0,"",SUMIFS(Datos!$F$5:$F$228,Datos!$A$5:$A$228,A145,Datos!$B$5:$B$228,B145,Datos!$M$5:$M$228,1))</f>
        <v/>
      </c>
      <c r="J145">
        <f>COUNTIFS(Datos!$A$5:$A$228,A145,Datos!$B$5:$B$228,B145,Datos!$M$5:$M$228,1)</f>
        <v>0</v>
      </c>
    </row>
    <row r="146" spans="1:10">
      <c r="A146" s="5">
        <f>A44</f>
        <v>46287</v>
      </c>
      <c r="B146" t="s">
        <v>37</v>
      </c>
      <c r="C146" t="s">
        <v>36</v>
      </c>
      <c r="D146" s="8" t="str">
        <f>IF(J146=0,"",SUMIFS(Datos!$E$5:$E$228,Datos!$A$5:$A$228,A146,Datos!$B$5:$B$228,B146,Datos!$M$5:$M$228,1))</f>
        <v/>
      </c>
      <c r="E146" s="8" t="str">
        <f>IF(J146=0,"",SUMIFS(Datos!$G$5:$G$228,Datos!$A$5:$A$228,A146,Datos!$B$5:$B$228,B146,Datos!$M$5:$M$228,1))</f>
        <v/>
      </c>
      <c r="F146" s="8" t="str">
        <f t="shared" si="13"/>
        <v/>
      </c>
      <c r="G146" s="8" t="str">
        <f>IF(COUNTIFS(Datos!$A$5:$A$228,A146,Datos!$B$5:$B$228,B146,Datos!$M$5:$M$228,1,Datos!$Q$5:$Q$228,"&gt;0")=0,"Pendiente GPS",_xlfn.MAXIFS(Datos!$Q$5:$Q$228,Datos!$A$5:$A$228,A146,Datos!$B$5:$B$228,B146,Datos!$M$5:$M$228,1))</f>
        <v>Pendiente GPS</v>
      </c>
      <c r="H146" t="str">
        <f t="shared" si="14"/>
        <v>Sin registro</v>
      </c>
      <c r="I146" t="str">
        <f>IF(J146=0,"",SUMIFS(Datos!$F$5:$F$228,Datos!$A$5:$A$228,A146,Datos!$B$5:$B$228,B146,Datos!$M$5:$M$228,1))</f>
        <v/>
      </c>
      <c r="J146">
        <f>COUNTIFS(Datos!$A$5:$A$228,A146,Datos!$B$5:$B$228,B146,Datos!$M$5:$M$228,1)</f>
        <v>0</v>
      </c>
    </row>
    <row r="147" spans="1:10">
      <c r="A147" s="5">
        <f>A44</f>
        <v>46287</v>
      </c>
      <c r="B147" t="s">
        <v>38</v>
      </c>
      <c r="C147" t="s">
        <v>39</v>
      </c>
      <c r="D147" s="8" t="str">
        <f>IF(J147=0,"",SUMIFS(Datos!$E$5:$E$228,Datos!$A$5:$A$228,A147,Datos!$B$5:$B$228,B147,Datos!$M$5:$M$228,1))</f>
        <v/>
      </c>
      <c r="E147" s="8" t="str">
        <f>IF(J147=0,"",SUMIFS(Datos!$G$5:$G$228,Datos!$A$5:$A$228,A147,Datos!$B$5:$B$228,B147,Datos!$M$5:$M$228,1))</f>
        <v/>
      </c>
      <c r="F147" s="8" t="str">
        <f t="shared" si="13"/>
        <v/>
      </c>
      <c r="G147" s="8" t="str">
        <f>IF(COUNTIFS(Datos!$A$5:$A$228,A147,Datos!$B$5:$B$228,B147,Datos!$M$5:$M$228,1,Datos!$Q$5:$Q$228,"&gt;0")=0,"Pendiente GPS",_xlfn.MAXIFS(Datos!$Q$5:$Q$228,Datos!$A$5:$A$228,A147,Datos!$B$5:$B$228,B147,Datos!$M$5:$M$228,1))</f>
        <v>Pendiente GPS</v>
      </c>
      <c r="H147" t="str">
        <f t="shared" si="14"/>
        <v>Sin registro</v>
      </c>
      <c r="I147" t="str">
        <f>IF(J147=0,"",SUMIFS(Datos!$F$5:$F$228,Datos!$A$5:$A$228,A147,Datos!$B$5:$B$228,B147,Datos!$M$5:$M$228,1))</f>
        <v/>
      </c>
      <c r="J147">
        <f>COUNTIFS(Datos!$A$5:$A$228,A147,Datos!$B$5:$B$228,B147,Datos!$M$5:$M$228,1)</f>
        <v>0</v>
      </c>
    </row>
    <row r="148" spans="1:10">
      <c r="A148" s="5">
        <f>A44</f>
        <v>46287</v>
      </c>
      <c r="B148" t="s">
        <v>40</v>
      </c>
      <c r="C148" t="s">
        <v>41</v>
      </c>
      <c r="D148" s="8" t="str">
        <f>IF(J148=0,"",SUMIFS(Datos!$E$5:$E$228,Datos!$A$5:$A$228,A148,Datos!$B$5:$B$228,B148,Datos!$M$5:$M$228,1))</f>
        <v/>
      </c>
      <c r="E148" s="8" t="str">
        <f>IF(J148=0,"",SUMIFS(Datos!$G$5:$G$228,Datos!$A$5:$A$228,A148,Datos!$B$5:$B$228,B148,Datos!$M$5:$M$228,1))</f>
        <v/>
      </c>
      <c r="F148" s="8" t="str">
        <f t="shared" si="13"/>
        <v/>
      </c>
      <c r="G148" s="8" t="str">
        <f>IF(COUNTIFS(Datos!$A$5:$A$228,A148,Datos!$B$5:$B$228,B148,Datos!$M$5:$M$228,1,Datos!$Q$5:$Q$228,"&gt;0")=0,"Pendiente GPS",_xlfn.MAXIFS(Datos!$Q$5:$Q$228,Datos!$A$5:$A$228,A148,Datos!$B$5:$B$228,B148,Datos!$M$5:$M$228,1))</f>
        <v>Pendiente GPS</v>
      </c>
      <c r="H148" t="str">
        <f t="shared" si="14"/>
        <v>Sin registro</v>
      </c>
      <c r="I148" t="str">
        <f>IF(J148=0,"",SUMIFS(Datos!$F$5:$F$228,Datos!$A$5:$A$228,A148,Datos!$B$5:$B$228,B148,Datos!$M$5:$M$228,1))</f>
        <v/>
      </c>
      <c r="J148">
        <f>COUNTIFS(Datos!$A$5:$A$228,A148,Datos!$B$5:$B$228,B148,Datos!$M$5:$M$228,1)</f>
        <v>0</v>
      </c>
    </row>
    <row r="149" spans="1:10">
      <c r="A149" s="5">
        <f>A45</f>
        <v>46288</v>
      </c>
      <c r="B149" t="s">
        <v>31</v>
      </c>
      <c r="C149" t="s">
        <v>8</v>
      </c>
      <c r="D149" s="8">
        <f>IF(J149=0,"",SUMIFS(Datos!$E$5:$E$228,Datos!$A$5:$A$228,A149,Datos!$B$5:$B$228,B149,Datos!$M$5:$M$228,1))</f>
        <v>135</v>
      </c>
      <c r="E149" s="8">
        <f>IF(J149=0,"",SUMIFS(Datos!$G$5:$G$228,Datos!$A$5:$A$228,A149,Datos!$B$5:$B$228,B149,Datos!$M$5:$M$228,1))</f>
        <v>9.0109999999999992</v>
      </c>
      <c r="F149" s="8">
        <f t="shared" ref="F149:F180" si="17">IF(OR(J149=0,E149=0),"",D149/E149)</f>
        <v>14.981689046720676</v>
      </c>
      <c r="G149" s="8" t="str">
        <f>IF(COUNTIFS(Datos!$A$5:$A$228,A149,Datos!$B$5:$B$228,B149,Datos!$M$5:$M$228,1,Datos!$Q$5:$Q$228,"&gt;0")=0,"Pendiente GPS",_xlfn.MAXIFS(Datos!$Q$5:$Q$228,Datos!$A$5:$A$228,A149,Datos!$B$5:$B$228,B149,Datos!$M$5:$M$228,1))</f>
        <v>Pendiente GPS</v>
      </c>
      <c r="H149" t="str">
        <f t="shared" ref="H149:H180" si="18">IF(J149=0,"Sin registro",IF(E149&gt;0,"Movimiento",IF(I149&gt;0,"Stand by*","Sin actividad")))</f>
        <v>Movimiento</v>
      </c>
      <c r="I149">
        <f>IF(J149=0,"",SUMIFS(Datos!$F$5:$F$228,Datos!$A$5:$A$228,A149,Datos!$B$5:$B$228,B149,Datos!$M$5:$M$228,1))</f>
        <v>15.299999999999999</v>
      </c>
      <c r="J149">
        <f>COUNTIFS(Datos!$A$5:$A$228,A149,Datos!$B$5:$B$228,B149,Datos!$M$5:$M$228,1)</f>
        <v>2</v>
      </c>
    </row>
    <row r="150" spans="1:10">
      <c r="A150" s="5">
        <f>A45</f>
        <v>46288</v>
      </c>
      <c r="B150" t="s">
        <v>32</v>
      </c>
      <c r="C150" t="s">
        <v>8</v>
      </c>
      <c r="D150" s="8">
        <f>IF(J150=0,"",SUMIFS(Datos!$E$5:$E$228,Datos!$A$5:$A$228,A150,Datos!$B$5:$B$228,B150,Datos!$M$5:$M$228,1))</f>
        <v>134</v>
      </c>
      <c r="E150" s="8">
        <f>IF(J150=0,"",SUMIFS(Datos!$G$5:$G$228,Datos!$A$5:$A$228,A150,Datos!$B$5:$B$228,B150,Datos!$M$5:$M$228,1))</f>
        <v>8.9239999999999995</v>
      </c>
      <c r="F150" s="8">
        <f t="shared" si="17"/>
        <v>15.015688032272525</v>
      </c>
      <c r="G150" s="8" t="str">
        <f>IF(COUNTIFS(Datos!$A$5:$A$228,A150,Datos!$B$5:$B$228,B150,Datos!$M$5:$M$228,1,Datos!$Q$5:$Q$228,"&gt;0")=0,"Pendiente GPS",_xlfn.MAXIFS(Datos!$Q$5:$Q$228,Datos!$A$5:$A$228,A150,Datos!$B$5:$B$228,B150,Datos!$M$5:$M$228,1))</f>
        <v>Pendiente GPS</v>
      </c>
      <c r="H150" t="str">
        <f t="shared" si="18"/>
        <v>Movimiento</v>
      </c>
      <c r="I150">
        <f>IF(J150=0,"",SUMIFS(Datos!$F$5:$F$228,Datos!$A$5:$A$228,A150,Datos!$B$5:$B$228,B150,Datos!$M$5:$M$228,1))</f>
        <v>13.7</v>
      </c>
      <c r="J150">
        <f>COUNTIFS(Datos!$A$5:$A$228,A150,Datos!$B$5:$B$228,B150,Datos!$M$5:$M$228,1)</f>
        <v>2</v>
      </c>
    </row>
    <row r="151" spans="1:10">
      <c r="A151" s="5">
        <f>A45</f>
        <v>46288</v>
      </c>
      <c r="B151" t="s">
        <v>33</v>
      </c>
      <c r="C151" t="s">
        <v>8</v>
      </c>
      <c r="D151" s="8">
        <f>IF(J151=0,"",SUMIFS(Datos!$E$5:$E$228,Datos!$A$5:$A$228,A151,Datos!$B$5:$B$228,B151,Datos!$M$5:$M$228,1))</f>
        <v>137</v>
      </c>
      <c r="E151" s="8">
        <f>IF(J151=0,"",SUMIFS(Datos!$G$5:$G$228,Datos!$A$5:$A$228,A151,Datos!$B$5:$B$228,B151,Datos!$M$5:$M$228,1))</f>
        <v>9.1880000000000006</v>
      </c>
      <c r="F151" s="8">
        <f t="shared" si="17"/>
        <v>14.910753156290813</v>
      </c>
      <c r="G151" s="8" t="str">
        <f>IF(COUNTIFS(Datos!$A$5:$A$228,A151,Datos!$B$5:$B$228,B151,Datos!$M$5:$M$228,1,Datos!$Q$5:$Q$228,"&gt;0")=0,"Pendiente GPS",_xlfn.MAXIFS(Datos!$Q$5:$Q$228,Datos!$A$5:$A$228,A151,Datos!$B$5:$B$228,B151,Datos!$M$5:$M$228,1))</f>
        <v>Pendiente GPS</v>
      </c>
      <c r="H151" t="str">
        <f t="shared" si="18"/>
        <v>Movimiento</v>
      </c>
      <c r="I151">
        <f>IF(J151=0,"",SUMIFS(Datos!$F$5:$F$228,Datos!$A$5:$A$228,A151,Datos!$B$5:$B$228,B151,Datos!$M$5:$M$228,1))</f>
        <v>14.6</v>
      </c>
      <c r="J151">
        <f>COUNTIFS(Datos!$A$5:$A$228,A151,Datos!$B$5:$B$228,B151,Datos!$M$5:$M$228,1)</f>
        <v>2</v>
      </c>
    </row>
    <row r="152" spans="1:10">
      <c r="A152" s="5">
        <f>A45</f>
        <v>46288</v>
      </c>
      <c r="B152" t="s">
        <v>34</v>
      </c>
      <c r="C152" t="s">
        <v>8</v>
      </c>
      <c r="D152" s="8">
        <f>IF(J152=0,"",SUMIFS(Datos!$E$5:$E$228,Datos!$A$5:$A$228,A152,Datos!$B$5:$B$228,B152,Datos!$M$5:$M$228,1))</f>
        <v>137</v>
      </c>
      <c r="E152" s="8">
        <f>IF(J152=0,"",SUMIFS(Datos!$G$5:$G$228,Datos!$A$5:$A$228,A152,Datos!$B$5:$B$228,B152,Datos!$M$5:$M$228,1))</f>
        <v>9.1730000000000018</v>
      </c>
      <c r="F152" s="8">
        <f t="shared" si="17"/>
        <v>14.935135724408587</v>
      </c>
      <c r="G152" s="8" t="str">
        <f>IF(COUNTIFS(Datos!$A$5:$A$228,A152,Datos!$B$5:$B$228,B152,Datos!$M$5:$M$228,1,Datos!$Q$5:$Q$228,"&gt;0")=0,"Pendiente GPS",_xlfn.MAXIFS(Datos!$Q$5:$Q$228,Datos!$A$5:$A$228,A152,Datos!$B$5:$B$228,B152,Datos!$M$5:$M$228,1))</f>
        <v>Pendiente GPS</v>
      </c>
      <c r="H152" t="str">
        <f t="shared" si="18"/>
        <v>Movimiento</v>
      </c>
      <c r="I152">
        <f>IF(J152=0,"",SUMIFS(Datos!$F$5:$F$228,Datos!$A$5:$A$228,A152,Datos!$B$5:$B$228,B152,Datos!$M$5:$M$228,1))</f>
        <v>15.5</v>
      </c>
      <c r="J152">
        <f>COUNTIFS(Datos!$A$5:$A$228,A152,Datos!$B$5:$B$228,B152,Datos!$M$5:$M$228,1)</f>
        <v>2</v>
      </c>
    </row>
    <row r="153" spans="1:10">
      <c r="A153" s="5">
        <f>A45</f>
        <v>46288</v>
      </c>
      <c r="B153" t="s">
        <v>35</v>
      </c>
      <c r="C153" t="s">
        <v>36</v>
      </c>
      <c r="D153" s="8" t="str">
        <f>IF(J153=0,"",SUMIFS(Datos!$E$5:$E$228,Datos!$A$5:$A$228,A153,Datos!$B$5:$B$228,B153,Datos!$M$5:$M$228,1))</f>
        <v/>
      </c>
      <c r="E153" s="8" t="str">
        <f>IF(J153=0,"",SUMIFS(Datos!$G$5:$G$228,Datos!$A$5:$A$228,A153,Datos!$B$5:$B$228,B153,Datos!$M$5:$M$228,1))</f>
        <v/>
      </c>
      <c r="F153" s="8" t="str">
        <f t="shared" si="17"/>
        <v/>
      </c>
      <c r="G153" s="8" t="str">
        <f>IF(COUNTIFS(Datos!$A$5:$A$228,A153,Datos!$B$5:$B$228,B153,Datos!$M$5:$M$228,1,Datos!$Q$5:$Q$228,"&gt;0")=0,"Pendiente GPS",_xlfn.MAXIFS(Datos!$Q$5:$Q$228,Datos!$A$5:$A$228,A153,Datos!$B$5:$B$228,B153,Datos!$M$5:$M$228,1))</f>
        <v>Pendiente GPS</v>
      </c>
      <c r="H153" t="str">
        <f t="shared" si="18"/>
        <v>Sin registro</v>
      </c>
      <c r="I153" t="str">
        <f>IF(J153=0,"",SUMIFS(Datos!$F$5:$F$228,Datos!$A$5:$A$228,A153,Datos!$B$5:$B$228,B153,Datos!$M$5:$M$228,1))</f>
        <v/>
      </c>
      <c r="J153">
        <f>COUNTIFS(Datos!$A$5:$A$228,A153,Datos!$B$5:$B$228,B153,Datos!$M$5:$M$228,1)</f>
        <v>0</v>
      </c>
    </row>
    <row r="154" spans="1:10">
      <c r="A154" s="5">
        <f>A45</f>
        <v>46288</v>
      </c>
      <c r="B154" t="s">
        <v>37</v>
      </c>
      <c r="C154" t="s">
        <v>36</v>
      </c>
      <c r="D154" s="8" t="str">
        <f>IF(J154=0,"",SUMIFS(Datos!$E$5:$E$228,Datos!$A$5:$A$228,A154,Datos!$B$5:$B$228,B154,Datos!$M$5:$M$228,1))</f>
        <v/>
      </c>
      <c r="E154" s="8" t="str">
        <f>IF(J154=0,"",SUMIFS(Datos!$G$5:$G$228,Datos!$A$5:$A$228,A154,Datos!$B$5:$B$228,B154,Datos!$M$5:$M$228,1))</f>
        <v/>
      </c>
      <c r="F154" s="8" t="str">
        <f t="shared" si="17"/>
        <v/>
      </c>
      <c r="G154" s="8" t="str">
        <f>IF(COUNTIFS(Datos!$A$5:$A$228,A154,Datos!$B$5:$B$228,B154,Datos!$M$5:$M$228,1,Datos!$Q$5:$Q$228,"&gt;0")=0,"Pendiente GPS",_xlfn.MAXIFS(Datos!$Q$5:$Q$228,Datos!$A$5:$A$228,A154,Datos!$B$5:$B$228,B154,Datos!$M$5:$M$228,1))</f>
        <v>Pendiente GPS</v>
      </c>
      <c r="H154" t="str">
        <f t="shared" si="18"/>
        <v>Sin registro</v>
      </c>
      <c r="I154" t="str">
        <f>IF(J154=0,"",SUMIFS(Datos!$F$5:$F$228,Datos!$A$5:$A$228,A154,Datos!$B$5:$B$228,B154,Datos!$M$5:$M$228,1))</f>
        <v/>
      </c>
      <c r="J154">
        <f>COUNTIFS(Datos!$A$5:$A$228,A154,Datos!$B$5:$B$228,B154,Datos!$M$5:$M$228,1)</f>
        <v>0</v>
      </c>
    </row>
    <row r="155" spans="1:10">
      <c r="A155" s="5">
        <f>A45</f>
        <v>46288</v>
      </c>
      <c r="B155" t="s">
        <v>38</v>
      </c>
      <c r="C155" t="s">
        <v>39</v>
      </c>
      <c r="D155" s="8" t="str">
        <f>IF(J155=0,"",SUMIFS(Datos!$E$5:$E$228,Datos!$A$5:$A$228,A155,Datos!$B$5:$B$228,B155,Datos!$M$5:$M$228,1))</f>
        <v/>
      </c>
      <c r="E155" s="8" t="str">
        <f>IF(J155=0,"",SUMIFS(Datos!$G$5:$G$228,Datos!$A$5:$A$228,A155,Datos!$B$5:$B$228,B155,Datos!$M$5:$M$228,1))</f>
        <v/>
      </c>
      <c r="F155" s="8" t="str">
        <f t="shared" si="17"/>
        <v/>
      </c>
      <c r="G155" s="8" t="str">
        <f>IF(COUNTIFS(Datos!$A$5:$A$228,A155,Datos!$B$5:$B$228,B155,Datos!$M$5:$M$228,1,Datos!$Q$5:$Q$228,"&gt;0")=0,"Pendiente GPS",_xlfn.MAXIFS(Datos!$Q$5:$Q$228,Datos!$A$5:$A$228,A155,Datos!$B$5:$B$228,B155,Datos!$M$5:$M$228,1))</f>
        <v>Pendiente GPS</v>
      </c>
      <c r="H155" t="str">
        <f t="shared" si="18"/>
        <v>Sin registro</v>
      </c>
      <c r="I155" t="str">
        <f>IF(J155=0,"",SUMIFS(Datos!$F$5:$F$228,Datos!$A$5:$A$228,A155,Datos!$B$5:$B$228,B155,Datos!$M$5:$M$228,1))</f>
        <v/>
      </c>
      <c r="J155">
        <f>COUNTIFS(Datos!$A$5:$A$228,A155,Datos!$B$5:$B$228,B155,Datos!$M$5:$M$228,1)</f>
        <v>0</v>
      </c>
    </row>
    <row r="156" spans="1:10">
      <c r="A156" s="5">
        <f>A45</f>
        <v>46288</v>
      </c>
      <c r="B156" t="s">
        <v>40</v>
      </c>
      <c r="C156" t="s">
        <v>41</v>
      </c>
      <c r="D156" s="8" t="str">
        <f>IF(J156=0,"",SUMIFS(Datos!$E$5:$E$228,Datos!$A$5:$A$228,A156,Datos!$B$5:$B$228,B156,Datos!$M$5:$M$228,1))</f>
        <v/>
      </c>
      <c r="E156" s="8" t="str">
        <f>IF(J156=0,"",SUMIFS(Datos!$G$5:$G$228,Datos!$A$5:$A$228,A156,Datos!$B$5:$B$228,B156,Datos!$M$5:$M$228,1))</f>
        <v/>
      </c>
      <c r="F156" s="8" t="str">
        <f t="shared" si="17"/>
        <v/>
      </c>
      <c r="G156" s="8" t="str">
        <f>IF(COUNTIFS(Datos!$A$5:$A$228,A156,Datos!$B$5:$B$228,B156,Datos!$M$5:$M$228,1,Datos!$Q$5:$Q$228,"&gt;0")=0,"Pendiente GPS",_xlfn.MAXIFS(Datos!$Q$5:$Q$228,Datos!$A$5:$A$228,A156,Datos!$B$5:$B$228,B156,Datos!$M$5:$M$228,1))</f>
        <v>Pendiente GPS</v>
      </c>
      <c r="H156" t="str">
        <f t="shared" si="18"/>
        <v>Sin registro</v>
      </c>
      <c r="I156" t="str">
        <f>IF(J156=0,"",SUMIFS(Datos!$F$5:$F$228,Datos!$A$5:$A$228,A156,Datos!$B$5:$B$228,B156,Datos!$M$5:$M$228,1))</f>
        <v/>
      </c>
      <c r="J156">
        <f>COUNTIFS(Datos!$A$5:$A$228,A156,Datos!$B$5:$B$228,B156,Datos!$M$5:$M$228,1)</f>
        <v>0</v>
      </c>
    </row>
    <row r="157" spans="1:10">
      <c r="A157" s="5">
        <f>A46</f>
        <v>46289</v>
      </c>
      <c r="B157" t="s">
        <v>31</v>
      </c>
      <c r="C157" t="s">
        <v>8</v>
      </c>
      <c r="D157" s="8">
        <f>IF(J157=0,"",SUMIFS(Datos!$E$5:$E$228,Datos!$A$5:$A$228,A157,Datos!$B$5:$B$228,B157,Datos!$M$5:$M$228,1))</f>
        <v>138</v>
      </c>
      <c r="E157" s="8">
        <f>IF(J157=0,"",SUMIFS(Datos!$G$5:$G$228,Datos!$A$5:$A$228,A157,Datos!$B$5:$B$228,B157,Datos!$M$5:$M$228,1))</f>
        <v>9.2240000000000002</v>
      </c>
      <c r="F157" s="8">
        <f t="shared" si="17"/>
        <v>14.960971379011275</v>
      </c>
      <c r="G157" s="8" t="str">
        <f>IF(COUNTIFS(Datos!$A$5:$A$228,A157,Datos!$B$5:$B$228,B157,Datos!$M$5:$M$228,1,Datos!$Q$5:$Q$228,"&gt;0")=0,"Pendiente GPS",_xlfn.MAXIFS(Datos!$Q$5:$Q$228,Datos!$A$5:$A$228,A157,Datos!$B$5:$B$228,B157,Datos!$M$5:$M$228,1))</f>
        <v>Pendiente GPS</v>
      </c>
      <c r="H157" t="str">
        <f t="shared" si="18"/>
        <v>Movimiento</v>
      </c>
      <c r="I157">
        <f>IF(J157=0,"",SUMIFS(Datos!$F$5:$F$228,Datos!$A$5:$A$228,A157,Datos!$B$5:$B$228,B157,Datos!$M$5:$M$228,1))</f>
        <v>14.2</v>
      </c>
      <c r="J157">
        <f>COUNTIFS(Datos!$A$5:$A$228,A157,Datos!$B$5:$B$228,B157,Datos!$M$5:$M$228,1)</f>
        <v>2</v>
      </c>
    </row>
    <row r="158" spans="1:10">
      <c r="A158" s="5">
        <f>A46</f>
        <v>46289</v>
      </c>
      <c r="B158" t="s">
        <v>32</v>
      </c>
      <c r="C158" t="s">
        <v>8</v>
      </c>
      <c r="D158" s="8">
        <f>IF(J158=0,"",SUMIFS(Datos!$E$5:$E$228,Datos!$A$5:$A$228,A158,Datos!$B$5:$B$228,B158,Datos!$M$5:$M$228,1))</f>
        <v>143</v>
      </c>
      <c r="E158" s="8">
        <f>IF(J158=0,"",SUMIFS(Datos!$G$5:$G$228,Datos!$A$5:$A$228,A158,Datos!$B$5:$B$228,B158,Datos!$M$5:$M$228,1))</f>
        <v>9.4980000000000011</v>
      </c>
      <c r="F158" s="8">
        <f t="shared" si="17"/>
        <v>15.055801221309748</v>
      </c>
      <c r="G158" s="8" t="str">
        <f>IF(COUNTIFS(Datos!$A$5:$A$228,A158,Datos!$B$5:$B$228,B158,Datos!$M$5:$M$228,1,Datos!$Q$5:$Q$228,"&gt;0")=0,"Pendiente GPS",_xlfn.MAXIFS(Datos!$Q$5:$Q$228,Datos!$A$5:$A$228,A158,Datos!$B$5:$B$228,B158,Datos!$M$5:$M$228,1))</f>
        <v>Pendiente GPS</v>
      </c>
      <c r="H158" t="str">
        <f t="shared" si="18"/>
        <v>Movimiento</v>
      </c>
      <c r="I158">
        <f>IF(J158=0,"",SUMIFS(Datos!$F$5:$F$228,Datos!$A$5:$A$228,A158,Datos!$B$5:$B$228,B158,Datos!$M$5:$M$228,1))</f>
        <v>15.1</v>
      </c>
      <c r="J158">
        <f>COUNTIFS(Datos!$A$5:$A$228,A158,Datos!$B$5:$B$228,B158,Datos!$M$5:$M$228,1)</f>
        <v>2</v>
      </c>
    </row>
    <row r="159" spans="1:10">
      <c r="A159" s="5">
        <f>A46</f>
        <v>46289</v>
      </c>
      <c r="B159" t="s">
        <v>33</v>
      </c>
      <c r="C159" t="s">
        <v>8</v>
      </c>
      <c r="D159" s="8">
        <f>IF(J159=0,"",SUMIFS(Datos!$E$5:$E$228,Datos!$A$5:$A$228,A159,Datos!$B$5:$B$228,B159,Datos!$M$5:$M$228,1))</f>
        <v>121</v>
      </c>
      <c r="E159" s="8">
        <f>IF(J159=0,"",SUMIFS(Datos!$G$5:$G$228,Datos!$A$5:$A$228,A159,Datos!$B$5:$B$228,B159,Datos!$M$5:$M$228,1))</f>
        <v>8.093</v>
      </c>
      <c r="F159" s="8">
        <f t="shared" si="17"/>
        <v>14.951192388483875</v>
      </c>
      <c r="G159" s="8" t="str">
        <f>IF(COUNTIFS(Datos!$A$5:$A$228,A159,Datos!$B$5:$B$228,B159,Datos!$M$5:$M$228,1,Datos!$Q$5:$Q$228,"&gt;0")=0,"Pendiente GPS",_xlfn.MAXIFS(Datos!$Q$5:$Q$228,Datos!$A$5:$A$228,A159,Datos!$B$5:$B$228,B159,Datos!$M$5:$M$228,1))</f>
        <v>Pendiente GPS</v>
      </c>
      <c r="H159" t="str">
        <f t="shared" si="18"/>
        <v>Movimiento</v>
      </c>
      <c r="I159">
        <f>IF(J159=0,"",SUMIFS(Datos!$F$5:$F$228,Datos!$A$5:$A$228,A159,Datos!$B$5:$B$228,B159,Datos!$M$5:$M$228,1))</f>
        <v>13.5</v>
      </c>
      <c r="J159">
        <f>COUNTIFS(Datos!$A$5:$A$228,A159,Datos!$B$5:$B$228,B159,Datos!$M$5:$M$228,1)</f>
        <v>2</v>
      </c>
    </row>
    <row r="160" spans="1:10">
      <c r="A160" s="5">
        <f>A46</f>
        <v>46289</v>
      </c>
      <c r="B160" t="s">
        <v>34</v>
      </c>
      <c r="C160" t="s">
        <v>8</v>
      </c>
      <c r="D160" s="8">
        <f>IF(J160=0,"",SUMIFS(Datos!$E$5:$E$228,Datos!$A$5:$A$228,A160,Datos!$B$5:$B$228,B160,Datos!$M$5:$M$228,1))</f>
        <v>144</v>
      </c>
      <c r="E160" s="8">
        <f>IF(J160=0,"",SUMIFS(Datos!$G$5:$G$228,Datos!$A$5:$A$228,A160,Datos!$B$5:$B$228,B160,Datos!$M$5:$M$228,1))</f>
        <v>9.6389999999999993</v>
      </c>
      <c r="F160" s="8">
        <f t="shared" si="17"/>
        <v>14.939309056956116</v>
      </c>
      <c r="G160" s="8" t="str">
        <f>IF(COUNTIFS(Datos!$A$5:$A$228,A160,Datos!$B$5:$B$228,B160,Datos!$M$5:$M$228,1,Datos!$Q$5:$Q$228,"&gt;0")=0,"Pendiente GPS",_xlfn.MAXIFS(Datos!$Q$5:$Q$228,Datos!$A$5:$A$228,A160,Datos!$B$5:$B$228,B160,Datos!$M$5:$M$228,1))</f>
        <v>Pendiente GPS</v>
      </c>
      <c r="H160" t="str">
        <f t="shared" si="18"/>
        <v>Movimiento</v>
      </c>
      <c r="I160">
        <f>IF(J160=0,"",SUMIFS(Datos!$F$5:$F$228,Datos!$A$5:$A$228,A160,Datos!$B$5:$B$228,B160,Datos!$M$5:$M$228,1))</f>
        <v>14.4</v>
      </c>
      <c r="J160">
        <f>COUNTIFS(Datos!$A$5:$A$228,A160,Datos!$B$5:$B$228,B160,Datos!$M$5:$M$228,1)</f>
        <v>2</v>
      </c>
    </row>
    <row r="161" spans="1:10">
      <c r="A161" s="5">
        <f>A46</f>
        <v>46289</v>
      </c>
      <c r="B161" t="s">
        <v>35</v>
      </c>
      <c r="C161" t="s">
        <v>36</v>
      </c>
      <c r="D161" s="8" t="str">
        <f>IF(J161=0,"",SUMIFS(Datos!$E$5:$E$228,Datos!$A$5:$A$228,A161,Datos!$B$5:$B$228,B161,Datos!$M$5:$M$228,1))</f>
        <v/>
      </c>
      <c r="E161" s="8" t="str">
        <f>IF(J161=0,"",SUMIFS(Datos!$G$5:$G$228,Datos!$A$5:$A$228,A161,Datos!$B$5:$B$228,B161,Datos!$M$5:$M$228,1))</f>
        <v/>
      </c>
      <c r="F161" s="8" t="str">
        <f t="shared" si="17"/>
        <v/>
      </c>
      <c r="G161" s="8" t="str">
        <f>IF(COUNTIFS(Datos!$A$5:$A$228,A161,Datos!$B$5:$B$228,B161,Datos!$M$5:$M$228,1,Datos!$Q$5:$Q$228,"&gt;0")=0,"Pendiente GPS",_xlfn.MAXIFS(Datos!$Q$5:$Q$228,Datos!$A$5:$A$228,A161,Datos!$B$5:$B$228,B161,Datos!$M$5:$M$228,1))</f>
        <v>Pendiente GPS</v>
      </c>
      <c r="H161" t="str">
        <f t="shared" si="18"/>
        <v>Sin registro</v>
      </c>
      <c r="I161" t="str">
        <f>IF(J161=0,"",SUMIFS(Datos!$F$5:$F$228,Datos!$A$5:$A$228,A161,Datos!$B$5:$B$228,B161,Datos!$M$5:$M$228,1))</f>
        <v/>
      </c>
      <c r="J161">
        <f>COUNTIFS(Datos!$A$5:$A$228,A161,Datos!$B$5:$B$228,B161,Datos!$M$5:$M$228,1)</f>
        <v>0</v>
      </c>
    </row>
    <row r="162" spans="1:10">
      <c r="A162" s="5">
        <f>A46</f>
        <v>46289</v>
      </c>
      <c r="B162" t="s">
        <v>37</v>
      </c>
      <c r="C162" t="s">
        <v>36</v>
      </c>
      <c r="D162" s="8" t="str">
        <f>IF(J162=0,"",SUMIFS(Datos!$E$5:$E$228,Datos!$A$5:$A$228,A162,Datos!$B$5:$B$228,B162,Datos!$M$5:$M$228,1))</f>
        <v/>
      </c>
      <c r="E162" s="8" t="str">
        <f>IF(J162=0,"",SUMIFS(Datos!$G$5:$G$228,Datos!$A$5:$A$228,A162,Datos!$B$5:$B$228,B162,Datos!$M$5:$M$228,1))</f>
        <v/>
      </c>
      <c r="F162" s="8" t="str">
        <f t="shared" si="17"/>
        <v/>
      </c>
      <c r="G162" s="8" t="str">
        <f>IF(COUNTIFS(Datos!$A$5:$A$228,A162,Datos!$B$5:$B$228,B162,Datos!$M$5:$M$228,1,Datos!$Q$5:$Q$228,"&gt;0")=0,"Pendiente GPS",_xlfn.MAXIFS(Datos!$Q$5:$Q$228,Datos!$A$5:$A$228,A162,Datos!$B$5:$B$228,B162,Datos!$M$5:$M$228,1))</f>
        <v>Pendiente GPS</v>
      </c>
      <c r="H162" t="str">
        <f t="shared" si="18"/>
        <v>Sin registro</v>
      </c>
      <c r="I162" t="str">
        <f>IF(J162=0,"",SUMIFS(Datos!$F$5:$F$228,Datos!$A$5:$A$228,A162,Datos!$B$5:$B$228,B162,Datos!$M$5:$M$228,1))</f>
        <v/>
      </c>
      <c r="J162">
        <f>COUNTIFS(Datos!$A$5:$A$228,A162,Datos!$B$5:$B$228,B162,Datos!$M$5:$M$228,1)</f>
        <v>0</v>
      </c>
    </row>
    <row r="163" spans="1:10">
      <c r="A163" s="5">
        <f>A46</f>
        <v>46289</v>
      </c>
      <c r="B163" t="s">
        <v>38</v>
      </c>
      <c r="C163" t="s">
        <v>39</v>
      </c>
      <c r="D163" s="8" t="str">
        <f>IF(J163=0,"",SUMIFS(Datos!$E$5:$E$228,Datos!$A$5:$A$228,A163,Datos!$B$5:$B$228,B163,Datos!$M$5:$M$228,1))</f>
        <v/>
      </c>
      <c r="E163" s="8" t="str">
        <f>IF(J163=0,"",SUMIFS(Datos!$G$5:$G$228,Datos!$A$5:$A$228,A163,Datos!$B$5:$B$228,B163,Datos!$M$5:$M$228,1))</f>
        <v/>
      </c>
      <c r="F163" s="8" t="str">
        <f t="shared" si="17"/>
        <v/>
      </c>
      <c r="G163" s="8" t="str">
        <f>IF(COUNTIFS(Datos!$A$5:$A$228,A163,Datos!$B$5:$B$228,B163,Datos!$M$5:$M$228,1,Datos!$Q$5:$Q$228,"&gt;0")=0,"Pendiente GPS",_xlfn.MAXIFS(Datos!$Q$5:$Q$228,Datos!$A$5:$A$228,A163,Datos!$B$5:$B$228,B163,Datos!$M$5:$M$228,1))</f>
        <v>Pendiente GPS</v>
      </c>
      <c r="H163" t="str">
        <f t="shared" si="18"/>
        <v>Sin registro</v>
      </c>
      <c r="I163" t="str">
        <f>IF(J163=0,"",SUMIFS(Datos!$F$5:$F$228,Datos!$A$5:$A$228,A163,Datos!$B$5:$B$228,B163,Datos!$M$5:$M$228,1))</f>
        <v/>
      </c>
      <c r="J163">
        <f>COUNTIFS(Datos!$A$5:$A$228,A163,Datos!$B$5:$B$228,B163,Datos!$M$5:$M$228,1)</f>
        <v>0</v>
      </c>
    </row>
    <row r="164" spans="1:10">
      <c r="A164" s="5">
        <f>A46</f>
        <v>46289</v>
      </c>
      <c r="B164" t="s">
        <v>40</v>
      </c>
      <c r="C164" t="s">
        <v>41</v>
      </c>
      <c r="D164" s="8" t="str">
        <f>IF(J164=0,"",SUMIFS(Datos!$E$5:$E$228,Datos!$A$5:$A$228,A164,Datos!$B$5:$B$228,B164,Datos!$M$5:$M$228,1))</f>
        <v/>
      </c>
      <c r="E164" s="8" t="str">
        <f>IF(J164=0,"",SUMIFS(Datos!$G$5:$G$228,Datos!$A$5:$A$228,A164,Datos!$B$5:$B$228,B164,Datos!$M$5:$M$228,1))</f>
        <v/>
      </c>
      <c r="F164" s="8" t="str">
        <f t="shared" si="17"/>
        <v/>
      </c>
      <c r="G164" s="8" t="str">
        <f>IF(COUNTIFS(Datos!$A$5:$A$228,A164,Datos!$B$5:$B$228,B164,Datos!$M$5:$M$228,1,Datos!$Q$5:$Q$228,"&gt;0")=0,"Pendiente GPS",_xlfn.MAXIFS(Datos!$Q$5:$Q$228,Datos!$A$5:$A$228,A164,Datos!$B$5:$B$228,B164,Datos!$M$5:$M$228,1))</f>
        <v>Pendiente GPS</v>
      </c>
      <c r="H164" t="str">
        <f t="shared" si="18"/>
        <v>Sin registro</v>
      </c>
      <c r="I164" t="str">
        <f>IF(J164=0,"",SUMIFS(Datos!$F$5:$F$228,Datos!$A$5:$A$228,A164,Datos!$B$5:$B$228,B164,Datos!$M$5:$M$228,1))</f>
        <v/>
      </c>
      <c r="J164">
        <f>COUNTIFS(Datos!$A$5:$A$228,A164,Datos!$B$5:$B$228,B164,Datos!$M$5:$M$228,1)</f>
        <v>0</v>
      </c>
    </row>
    <row r="165" spans="1:10">
      <c r="A165" s="5">
        <f>A47</f>
        <v>46290</v>
      </c>
      <c r="B165" t="s">
        <v>31</v>
      </c>
      <c r="C165" t="s">
        <v>8</v>
      </c>
      <c r="D165" s="8" t="str">
        <f>IF(J165=0,"",SUMIFS(Datos!$E$5:$E$228,Datos!$A$5:$A$228,A165,Datos!$B$5:$B$228,B165,Datos!$M$5:$M$228,1))</f>
        <v/>
      </c>
      <c r="E165" s="8" t="str">
        <f>IF(J165=0,"",SUMIFS(Datos!$G$5:$G$228,Datos!$A$5:$A$228,A165,Datos!$B$5:$B$228,B165,Datos!$M$5:$M$228,1))</f>
        <v/>
      </c>
      <c r="F165" s="8" t="str">
        <f t="shared" si="17"/>
        <v/>
      </c>
      <c r="G165" s="8" t="str">
        <f>IF(COUNTIFS(Datos!$A$5:$A$228,A165,Datos!$B$5:$B$228,B165,Datos!$M$5:$M$228,1,Datos!$Q$5:$Q$228,"&gt;0")=0,"Pendiente GPS",_xlfn.MAXIFS(Datos!$Q$5:$Q$228,Datos!$A$5:$A$228,A165,Datos!$B$5:$B$228,B165,Datos!$M$5:$M$228,1))</f>
        <v>Pendiente GPS</v>
      </c>
      <c r="H165" t="str">
        <f t="shared" si="18"/>
        <v>Sin registro</v>
      </c>
      <c r="I165" t="str">
        <f>IF(J165=0,"",SUMIFS(Datos!$F$5:$F$228,Datos!$A$5:$A$228,A165,Datos!$B$5:$B$228,B165,Datos!$M$5:$M$228,1))</f>
        <v/>
      </c>
      <c r="J165">
        <f>COUNTIFS(Datos!$A$5:$A$228,A165,Datos!$B$5:$B$228,B165,Datos!$M$5:$M$228,1)</f>
        <v>0</v>
      </c>
    </row>
    <row r="166" spans="1:10">
      <c r="A166" s="5">
        <f>A47</f>
        <v>46290</v>
      </c>
      <c r="B166" t="s">
        <v>32</v>
      </c>
      <c r="C166" t="s">
        <v>8</v>
      </c>
      <c r="D166" s="8" t="str">
        <f>IF(J166=0,"",SUMIFS(Datos!$E$5:$E$228,Datos!$A$5:$A$228,A166,Datos!$B$5:$B$228,B166,Datos!$M$5:$M$228,1))</f>
        <v/>
      </c>
      <c r="E166" s="8" t="str">
        <f>IF(J166=0,"",SUMIFS(Datos!$G$5:$G$228,Datos!$A$5:$A$228,A166,Datos!$B$5:$B$228,B166,Datos!$M$5:$M$228,1))</f>
        <v/>
      </c>
      <c r="F166" s="8" t="str">
        <f t="shared" si="17"/>
        <v/>
      </c>
      <c r="G166" s="8" t="str">
        <f>IF(COUNTIFS(Datos!$A$5:$A$228,A166,Datos!$B$5:$B$228,B166,Datos!$M$5:$M$228,1,Datos!$Q$5:$Q$228,"&gt;0")=0,"Pendiente GPS",_xlfn.MAXIFS(Datos!$Q$5:$Q$228,Datos!$A$5:$A$228,A166,Datos!$B$5:$B$228,B166,Datos!$M$5:$M$228,1))</f>
        <v>Pendiente GPS</v>
      </c>
      <c r="H166" t="str">
        <f t="shared" si="18"/>
        <v>Sin registro</v>
      </c>
      <c r="I166" t="str">
        <f>IF(J166=0,"",SUMIFS(Datos!$F$5:$F$228,Datos!$A$5:$A$228,A166,Datos!$B$5:$B$228,B166,Datos!$M$5:$M$228,1))</f>
        <v/>
      </c>
      <c r="J166">
        <f>COUNTIFS(Datos!$A$5:$A$228,A166,Datos!$B$5:$B$228,B166,Datos!$M$5:$M$228,1)</f>
        <v>0</v>
      </c>
    </row>
    <row r="167" spans="1:10">
      <c r="A167" s="5">
        <f>A47</f>
        <v>46290</v>
      </c>
      <c r="B167" t="s">
        <v>33</v>
      </c>
      <c r="C167" t="s">
        <v>8</v>
      </c>
      <c r="D167" s="8" t="str">
        <f>IF(J167=0,"",SUMIFS(Datos!$E$5:$E$228,Datos!$A$5:$A$228,A167,Datos!$B$5:$B$228,B167,Datos!$M$5:$M$228,1))</f>
        <v/>
      </c>
      <c r="E167" s="8" t="str">
        <f>IF(J167=0,"",SUMIFS(Datos!$G$5:$G$228,Datos!$A$5:$A$228,A167,Datos!$B$5:$B$228,B167,Datos!$M$5:$M$228,1))</f>
        <v/>
      </c>
      <c r="F167" s="8" t="str">
        <f t="shared" si="17"/>
        <v/>
      </c>
      <c r="G167" s="8" t="str">
        <f>IF(COUNTIFS(Datos!$A$5:$A$228,A167,Datos!$B$5:$B$228,B167,Datos!$M$5:$M$228,1,Datos!$Q$5:$Q$228,"&gt;0")=0,"Pendiente GPS",_xlfn.MAXIFS(Datos!$Q$5:$Q$228,Datos!$A$5:$A$228,A167,Datos!$B$5:$B$228,B167,Datos!$M$5:$M$228,1))</f>
        <v>Pendiente GPS</v>
      </c>
      <c r="H167" t="str">
        <f t="shared" si="18"/>
        <v>Sin registro</v>
      </c>
      <c r="I167" t="str">
        <f>IF(J167=0,"",SUMIFS(Datos!$F$5:$F$228,Datos!$A$5:$A$228,A167,Datos!$B$5:$B$228,B167,Datos!$M$5:$M$228,1))</f>
        <v/>
      </c>
      <c r="J167">
        <f>COUNTIFS(Datos!$A$5:$A$228,A167,Datos!$B$5:$B$228,B167,Datos!$M$5:$M$228,1)</f>
        <v>0</v>
      </c>
    </row>
    <row r="168" spans="1:10">
      <c r="A168" s="5">
        <f>A47</f>
        <v>46290</v>
      </c>
      <c r="B168" t="s">
        <v>34</v>
      </c>
      <c r="C168" t="s">
        <v>8</v>
      </c>
      <c r="D168" s="8" t="str">
        <f>IF(J168=0,"",SUMIFS(Datos!$E$5:$E$228,Datos!$A$5:$A$228,A168,Datos!$B$5:$B$228,B168,Datos!$M$5:$M$228,1))</f>
        <v/>
      </c>
      <c r="E168" s="8" t="str">
        <f>IF(J168=0,"",SUMIFS(Datos!$G$5:$G$228,Datos!$A$5:$A$228,A168,Datos!$B$5:$B$228,B168,Datos!$M$5:$M$228,1))</f>
        <v/>
      </c>
      <c r="F168" s="8" t="str">
        <f t="shared" si="17"/>
        <v/>
      </c>
      <c r="G168" s="8" t="str">
        <f>IF(COUNTIFS(Datos!$A$5:$A$228,A168,Datos!$B$5:$B$228,B168,Datos!$M$5:$M$228,1,Datos!$Q$5:$Q$228,"&gt;0")=0,"Pendiente GPS",_xlfn.MAXIFS(Datos!$Q$5:$Q$228,Datos!$A$5:$A$228,A168,Datos!$B$5:$B$228,B168,Datos!$M$5:$M$228,1))</f>
        <v>Pendiente GPS</v>
      </c>
      <c r="H168" t="str">
        <f t="shared" si="18"/>
        <v>Sin registro</v>
      </c>
      <c r="I168" t="str">
        <f>IF(J168=0,"",SUMIFS(Datos!$F$5:$F$228,Datos!$A$5:$A$228,A168,Datos!$B$5:$B$228,B168,Datos!$M$5:$M$228,1))</f>
        <v/>
      </c>
      <c r="J168">
        <f>COUNTIFS(Datos!$A$5:$A$228,A168,Datos!$B$5:$B$228,B168,Datos!$M$5:$M$228,1)</f>
        <v>0</v>
      </c>
    </row>
    <row r="169" spans="1:10">
      <c r="A169" s="5">
        <f>A47</f>
        <v>46290</v>
      </c>
      <c r="B169" t="s">
        <v>35</v>
      </c>
      <c r="C169" t="s">
        <v>36</v>
      </c>
      <c r="D169" s="8" t="str">
        <f>IF(J169=0,"",SUMIFS(Datos!$E$5:$E$228,Datos!$A$5:$A$228,A169,Datos!$B$5:$B$228,B169,Datos!$M$5:$M$228,1))</f>
        <v/>
      </c>
      <c r="E169" s="8" t="str">
        <f>IF(J169=0,"",SUMIFS(Datos!$G$5:$G$228,Datos!$A$5:$A$228,A169,Datos!$B$5:$B$228,B169,Datos!$M$5:$M$228,1))</f>
        <v/>
      </c>
      <c r="F169" s="8" t="str">
        <f t="shared" si="17"/>
        <v/>
      </c>
      <c r="G169" s="8" t="str">
        <f>IF(COUNTIFS(Datos!$A$5:$A$228,A169,Datos!$B$5:$B$228,B169,Datos!$M$5:$M$228,1,Datos!$Q$5:$Q$228,"&gt;0")=0,"Pendiente GPS",_xlfn.MAXIFS(Datos!$Q$5:$Q$228,Datos!$A$5:$A$228,A169,Datos!$B$5:$B$228,B169,Datos!$M$5:$M$228,1))</f>
        <v>Pendiente GPS</v>
      </c>
      <c r="H169" t="str">
        <f t="shared" si="18"/>
        <v>Sin registro</v>
      </c>
      <c r="I169" t="str">
        <f>IF(J169=0,"",SUMIFS(Datos!$F$5:$F$228,Datos!$A$5:$A$228,A169,Datos!$B$5:$B$228,B169,Datos!$M$5:$M$228,1))</f>
        <v/>
      </c>
      <c r="J169">
        <f>COUNTIFS(Datos!$A$5:$A$228,A169,Datos!$B$5:$B$228,B169,Datos!$M$5:$M$228,1)</f>
        <v>0</v>
      </c>
    </row>
    <row r="170" spans="1:10">
      <c r="A170" s="5">
        <f>A47</f>
        <v>46290</v>
      </c>
      <c r="B170" t="s">
        <v>37</v>
      </c>
      <c r="C170" t="s">
        <v>36</v>
      </c>
      <c r="D170" s="8" t="str">
        <f>IF(J170=0,"",SUMIFS(Datos!$E$5:$E$228,Datos!$A$5:$A$228,A170,Datos!$B$5:$B$228,B170,Datos!$M$5:$M$228,1))</f>
        <v/>
      </c>
      <c r="E170" s="8" t="str">
        <f>IF(J170=0,"",SUMIFS(Datos!$G$5:$G$228,Datos!$A$5:$A$228,A170,Datos!$B$5:$B$228,B170,Datos!$M$5:$M$228,1))</f>
        <v/>
      </c>
      <c r="F170" s="8" t="str">
        <f t="shared" si="17"/>
        <v/>
      </c>
      <c r="G170" s="8" t="str">
        <f>IF(COUNTIFS(Datos!$A$5:$A$228,A170,Datos!$B$5:$B$228,B170,Datos!$M$5:$M$228,1,Datos!$Q$5:$Q$228,"&gt;0")=0,"Pendiente GPS",_xlfn.MAXIFS(Datos!$Q$5:$Q$228,Datos!$A$5:$A$228,A170,Datos!$B$5:$B$228,B170,Datos!$M$5:$M$228,1))</f>
        <v>Pendiente GPS</v>
      </c>
      <c r="H170" t="str">
        <f t="shared" si="18"/>
        <v>Sin registro</v>
      </c>
      <c r="I170" t="str">
        <f>IF(J170=0,"",SUMIFS(Datos!$F$5:$F$228,Datos!$A$5:$A$228,A170,Datos!$B$5:$B$228,B170,Datos!$M$5:$M$228,1))</f>
        <v/>
      </c>
      <c r="J170">
        <f>COUNTIFS(Datos!$A$5:$A$228,A170,Datos!$B$5:$B$228,B170,Datos!$M$5:$M$228,1)</f>
        <v>0</v>
      </c>
    </row>
    <row r="171" spans="1:10">
      <c r="A171" s="5">
        <f>A47</f>
        <v>46290</v>
      </c>
      <c r="B171" t="s">
        <v>38</v>
      </c>
      <c r="C171" t="s">
        <v>39</v>
      </c>
      <c r="D171" s="8" t="str">
        <f>IF(J171=0,"",SUMIFS(Datos!$E$5:$E$228,Datos!$A$5:$A$228,A171,Datos!$B$5:$B$228,B171,Datos!$M$5:$M$228,1))</f>
        <v/>
      </c>
      <c r="E171" s="8" t="str">
        <f>IF(J171=0,"",SUMIFS(Datos!$G$5:$G$228,Datos!$A$5:$A$228,A171,Datos!$B$5:$B$228,B171,Datos!$M$5:$M$228,1))</f>
        <v/>
      </c>
      <c r="F171" s="8" t="str">
        <f t="shared" si="17"/>
        <v/>
      </c>
      <c r="G171" s="8" t="str">
        <f>IF(COUNTIFS(Datos!$A$5:$A$228,A171,Datos!$B$5:$B$228,B171,Datos!$M$5:$M$228,1,Datos!$Q$5:$Q$228,"&gt;0")=0,"Pendiente GPS",_xlfn.MAXIFS(Datos!$Q$5:$Q$228,Datos!$A$5:$A$228,A171,Datos!$B$5:$B$228,B171,Datos!$M$5:$M$228,1))</f>
        <v>Pendiente GPS</v>
      </c>
      <c r="H171" t="str">
        <f t="shared" si="18"/>
        <v>Sin registro</v>
      </c>
      <c r="I171" t="str">
        <f>IF(J171=0,"",SUMIFS(Datos!$F$5:$F$228,Datos!$A$5:$A$228,A171,Datos!$B$5:$B$228,B171,Datos!$M$5:$M$228,1))</f>
        <v/>
      </c>
      <c r="J171">
        <f>COUNTIFS(Datos!$A$5:$A$228,A171,Datos!$B$5:$B$228,B171,Datos!$M$5:$M$228,1)</f>
        <v>0</v>
      </c>
    </row>
    <row r="172" spans="1:10">
      <c r="A172" s="5">
        <f>A47</f>
        <v>46290</v>
      </c>
      <c r="B172" t="s">
        <v>40</v>
      </c>
      <c r="C172" t="s">
        <v>41</v>
      </c>
      <c r="D172" s="8" t="str">
        <f>IF(J172=0,"",SUMIFS(Datos!$E$5:$E$228,Datos!$A$5:$A$228,A172,Datos!$B$5:$B$228,B172,Datos!$M$5:$M$228,1))</f>
        <v/>
      </c>
      <c r="E172" s="8" t="str">
        <f>IF(J172=0,"",SUMIFS(Datos!$G$5:$G$228,Datos!$A$5:$A$228,A172,Datos!$B$5:$B$228,B172,Datos!$M$5:$M$228,1))</f>
        <v/>
      </c>
      <c r="F172" s="8" t="str">
        <f t="shared" si="17"/>
        <v/>
      </c>
      <c r="G172" s="8" t="str">
        <f>IF(COUNTIFS(Datos!$A$5:$A$228,A172,Datos!$B$5:$B$228,B172,Datos!$M$5:$M$228,1,Datos!$Q$5:$Q$228,"&gt;0")=0,"Pendiente GPS",_xlfn.MAXIFS(Datos!$Q$5:$Q$228,Datos!$A$5:$A$228,A172,Datos!$B$5:$B$228,B172,Datos!$M$5:$M$228,1))</f>
        <v>Pendiente GPS</v>
      </c>
      <c r="H172" t="str">
        <f t="shared" si="18"/>
        <v>Sin registro</v>
      </c>
      <c r="I172" t="str">
        <f>IF(J172=0,"",SUMIFS(Datos!$F$5:$F$228,Datos!$A$5:$A$228,A172,Datos!$B$5:$B$228,B172,Datos!$M$5:$M$228,1))</f>
        <v/>
      </c>
      <c r="J172">
        <f>COUNTIFS(Datos!$A$5:$A$228,A172,Datos!$B$5:$B$228,B172,Datos!$M$5:$M$228,1)</f>
        <v>0</v>
      </c>
    </row>
    <row r="173" spans="1:10">
      <c r="A173" s="5">
        <f>A48</f>
        <v>46291</v>
      </c>
      <c r="B173" t="s">
        <v>31</v>
      </c>
      <c r="C173" t="s">
        <v>8</v>
      </c>
      <c r="D173" s="8" t="str">
        <f>IF(J173=0,"",SUMIFS(Datos!$E$5:$E$228,Datos!$A$5:$A$228,A173,Datos!$B$5:$B$228,B173,Datos!$M$5:$M$228,1))</f>
        <v/>
      </c>
      <c r="E173" s="8" t="str">
        <f>IF(J173=0,"",SUMIFS(Datos!$G$5:$G$228,Datos!$A$5:$A$228,A173,Datos!$B$5:$B$228,B173,Datos!$M$5:$M$228,1))</f>
        <v/>
      </c>
      <c r="F173" s="8" t="str">
        <f t="shared" si="17"/>
        <v/>
      </c>
      <c r="G173" s="8" t="str">
        <f>IF(COUNTIFS(Datos!$A$5:$A$228,A173,Datos!$B$5:$B$228,B173,Datos!$M$5:$M$228,1,Datos!$Q$5:$Q$228,"&gt;0")=0,"Pendiente GPS",_xlfn.MAXIFS(Datos!$Q$5:$Q$228,Datos!$A$5:$A$228,A173,Datos!$B$5:$B$228,B173,Datos!$M$5:$M$228,1))</f>
        <v>Pendiente GPS</v>
      </c>
      <c r="H173" t="str">
        <f t="shared" si="18"/>
        <v>Sin registro</v>
      </c>
      <c r="I173" t="str">
        <f>IF(J173=0,"",SUMIFS(Datos!$F$5:$F$228,Datos!$A$5:$A$228,A173,Datos!$B$5:$B$228,B173,Datos!$M$5:$M$228,1))</f>
        <v/>
      </c>
      <c r="J173">
        <f>COUNTIFS(Datos!$A$5:$A$228,A173,Datos!$B$5:$B$228,B173,Datos!$M$5:$M$228,1)</f>
        <v>0</v>
      </c>
    </row>
    <row r="174" spans="1:10">
      <c r="A174" s="5">
        <f>A48</f>
        <v>46291</v>
      </c>
      <c r="B174" t="s">
        <v>32</v>
      </c>
      <c r="C174" t="s">
        <v>8</v>
      </c>
      <c r="D174" s="8" t="str">
        <f>IF(J174=0,"",SUMIFS(Datos!$E$5:$E$228,Datos!$A$5:$A$228,A174,Datos!$B$5:$B$228,B174,Datos!$M$5:$M$228,1))</f>
        <v/>
      </c>
      <c r="E174" s="8" t="str">
        <f>IF(J174=0,"",SUMIFS(Datos!$G$5:$G$228,Datos!$A$5:$A$228,A174,Datos!$B$5:$B$228,B174,Datos!$M$5:$M$228,1))</f>
        <v/>
      </c>
      <c r="F174" s="8" t="str">
        <f t="shared" si="17"/>
        <v/>
      </c>
      <c r="G174" s="8" t="str">
        <f>IF(COUNTIFS(Datos!$A$5:$A$228,A174,Datos!$B$5:$B$228,B174,Datos!$M$5:$M$228,1,Datos!$Q$5:$Q$228,"&gt;0")=0,"Pendiente GPS",_xlfn.MAXIFS(Datos!$Q$5:$Q$228,Datos!$A$5:$A$228,A174,Datos!$B$5:$B$228,B174,Datos!$M$5:$M$228,1))</f>
        <v>Pendiente GPS</v>
      </c>
      <c r="H174" t="str">
        <f t="shared" si="18"/>
        <v>Sin registro</v>
      </c>
      <c r="I174" t="str">
        <f>IF(J174=0,"",SUMIFS(Datos!$F$5:$F$228,Datos!$A$5:$A$228,A174,Datos!$B$5:$B$228,B174,Datos!$M$5:$M$228,1))</f>
        <v/>
      </c>
      <c r="J174">
        <f>COUNTIFS(Datos!$A$5:$A$228,A174,Datos!$B$5:$B$228,B174,Datos!$M$5:$M$228,1)</f>
        <v>0</v>
      </c>
    </row>
    <row r="175" spans="1:10">
      <c r="A175" s="5">
        <f>A48</f>
        <v>46291</v>
      </c>
      <c r="B175" t="s">
        <v>33</v>
      </c>
      <c r="C175" t="s">
        <v>8</v>
      </c>
      <c r="D175" s="8" t="str">
        <f>IF(J175=0,"",SUMIFS(Datos!$E$5:$E$228,Datos!$A$5:$A$228,A175,Datos!$B$5:$B$228,B175,Datos!$M$5:$M$228,1))</f>
        <v/>
      </c>
      <c r="E175" s="8" t="str">
        <f>IF(J175=0,"",SUMIFS(Datos!$G$5:$G$228,Datos!$A$5:$A$228,A175,Datos!$B$5:$B$228,B175,Datos!$M$5:$M$228,1))</f>
        <v/>
      </c>
      <c r="F175" s="8" t="str">
        <f t="shared" si="17"/>
        <v/>
      </c>
      <c r="G175" s="8" t="str">
        <f>IF(COUNTIFS(Datos!$A$5:$A$228,A175,Datos!$B$5:$B$228,B175,Datos!$M$5:$M$228,1,Datos!$Q$5:$Q$228,"&gt;0")=0,"Pendiente GPS",_xlfn.MAXIFS(Datos!$Q$5:$Q$228,Datos!$A$5:$A$228,A175,Datos!$B$5:$B$228,B175,Datos!$M$5:$M$228,1))</f>
        <v>Pendiente GPS</v>
      </c>
      <c r="H175" t="str">
        <f t="shared" si="18"/>
        <v>Sin registro</v>
      </c>
      <c r="I175" t="str">
        <f>IF(J175=0,"",SUMIFS(Datos!$F$5:$F$228,Datos!$A$5:$A$228,A175,Datos!$B$5:$B$228,B175,Datos!$M$5:$M$228,1))</f>
        <v/>
      </c>
      <c r="J175">
        <f>COUNTIFS(Datos!$A$5:$A$228,A175,Datos!$B$5:$B$228,B175,Datos!$M$5:$M$228,1)</f>
        <v>0</v>
      </c>
    </row>
    <row r="176" spans="1:10">
      <c r="A176" s="5">
        <f>A48</f>
        <v>46291</v>
      </c>
      <c r="B176" t="s">
        <v>34</v>
      </c>
      <c r="C176" t="s">
        <v>8</v>
      </c>
      <c r="D176" s="8" t="str">
        <f>IF(J176=0,"",SUMIFS(Datos!$E$5:$E$228,Datos!$A$5:$A$228,A176,Datos!$B$5:$B$228,B176,Datos!$M$5:$M$228,1))</f>
        <v/>
      </c>
      <c r="E176" s="8" t="str">
        <f>IF(J176=0,"",SUMIFS(Datos!$G$5:$G$228,Datos!$A$5:$A$228,A176,Datos!$B$5:$B$228,B176,Datos!$M$5:$M$228,1))</f>
        <v/>
      </c>
      <c r="F176" s="8" t="str">
        <f t="shared" si="17"/>
        <v/>
      </c>
      <c r="G176" s="8" t="str">
        <f>IF(COUNTIFS(Datos!$A$5:$A$228,A176,Datos!$B$5:$B$228,B176,Datos!$M$5:$M$228,1,Datos!$Q$5:$Q$228,"&gt;0")=0,"Pendiente GPS",_xlfn.MAXIFS(Datos!$Q$5:$Q$228,Datos!$A$5:$A$228,A176,Datos!$B$5:$B$228,B176,Datos!$M$5:$M$228,1))</f>
        <v>Pendiente GPS</v>
      </c>
      <c r="H176" t="str">
        <f t="shared" si="18"/>
        <v>Sin registro</v>
      </c>
      <c r="I176" t="str">
        <f>IF(J176=0,"",SUMIFS(Datos!$F$5:$F$228,Datos!$A$5:$A$228,A176,Datos!$B$5:$B$228,B176,Datos!$M$5:$M$228,1))</f>
        <v/>
      </c>
      <c r="J176">
        <f>COUNTIFS(Datos!$A$5:$A$228,A176,Datos!$B$5:$B$228,B176,Datos!$M$5:$M$228,1)</f>
        <v>0</v>
      </c>
    </row>
    <row r="177" spans="1:10">
      <c r="A177" s="5">
        <f>A48</f>
        <v>46291</v>
      </c>
      <c r="B177" t="s">
        <v>35</v>
      </c>
      <c r="C177" t="s">
        <v>36</v>
      </c>
      <c r="D177" s="8" t="str">
        <f>IF(J177=0,"",SUMIFS(Datos!$E$5:$E$228,Datos!$A$5:$A$228,A177,Datos!$B$5:$B$228,B177,Datos!$M$5:$M$228,1))</f>
        <v/>
      </c>
      <c r="E177" s="8" t="str">
        <f>IF(J177=0,"",SUMIFS(Datos!$G$5:$G$228,Datos!$A$5:$A$228,A177,Datos!$B$5:$B$228,B177,Datos!$M$5:$M$228,1))</f>
        <v/>
      </c>
      <c r="F177" s="8" t="str">
        <f t="shared" si="17"/>
        <v/>
      </c>
      <c r="G177" s="8" t="str">
        <f>IF(COUNTIFS(Datos!$A$5:$A$228,A177,Datos!$B$5:$B$228,B177,Datos!$M$5:$M$228,1,Datos!$Q$5:$Q$228,"&gt;0")=0,"Pendiente GPS",_xlfn.MAXIFS(Datos!$Q$5:$Q$228,Datos!$A$5:$A$228,A177,Datos!$B$5:$B$228,B177,Datos!$M$5:$M$228,1))</f>
        <v>Pendiente GPS</v>
      </c>
      <c r="H177" t="str">
        <f t="shared" si="18"/>
        <v>Sin registro</v>
      </c>
      <c r="I177" t="str">
        <f>IF(J177=0,"",SUMIFS(Datos!$F$5:$F$228,Datos!$A$5:$A$228,A177,Datos!$B$5:$B$228,B177,Datos!$M$5:$M$228,1))</f>
        <v/>
      </c>
      <c r="J177">
        <f>COUNTIFS(Datos!$A$5:$A$228,A177,Datos!$B$5:$B$228,B177,Datos!$M$5:$M$228,1)</f>
        <v>0</v>
      </c>
    </row>
    <row r="178" spans="1:10">
      <c r="A178" s="5">
        <f>A48</f>
        <v>46291</v>
      </c>
      <c r="B178" t="s">
        <v>37</v>
      </c>
      <c r="C178" t="s">
        <v>36</v>
      </c>
      <c r="D178" s="8" t="str">
        <f>IF(J178=0,"",SUMIFS(Datos!$E$5:$E$228,Datos!$A$5:$A$228,A178,Datos!$B$5:$B$228,B178,Datos!$M$5:$M$228,1))</f>
        <v/>
      </c>
      <c r="E178" s="8" t="str">
        <f>IF(J178=0,"",SUMIFS(Datos!$G$5:$G$228,Datos!$A$5:$A$228,A178,Datos!$B$5:$B$228,B178,Datos!$M$5:$M$228,1))</f>
        <v/>
      </c>
      <c r="F178" s="8" t="str">
        <f t="shared" si="17"/>
        <v/>
      </c>
      <c r="G178" s="8" t="str">
        <f>IF(COUNTIFS(Datos!$A$5:$A$228,A178,Datos!$B$5:$B$228,B178,Datos!$M$5:$M$228,1,Datos!$Q$5:$Q$228,"&gt;0")=0,"Pendiente GPS",_xlfn.MAXIFS(Datos!$Q$5:$Q$228,Datos!$A$5:$A$228,A178,Datos!$B$5:$B$228,B178,Datos!$M$5:$M$228,1))</f>
        <v>Pendiente GPS</v>
      </c>
      <c r="H178" t="str">
        <f t="shared" si="18"/>
        <v>Sin registro</v>
      </c>
      <c r="I178" t="str">
        <f>IF(J178=0,"",SUMIFS(Datos!$F$5:$F$228,Datos!$A$5:$A$228,A178,Datos!$B$5:$B$228,B178,Datos!$M$5:$M$228,1))</f>
        <v/>
      </c>
      <c r="J178">
        <f>COUNTIFS(Datos!$A$5:$A$228,A178,Datos!$B$5:$B$228,B178,Datos!$M$5:$M$228,1)</f>
        <v>0</v>
      </c>
    </row>
    <row r="179" spans="1:10">
      <c r="A179" s="5">
        <f>A48</f>
        <v>46291</v>
      </c>
      <c r="B179" t="s">
        <v>38</v>
      </c>
      <c r="C179" t="s">
        <v>39</v>
      </c>
      <c r="D179" s="8" t="str">
        <f>IF(J179=0,"",SUMIFS(Datos!$E$5:$E$228,Datos!$A$5:$A$228,A179,Datos!$B$5:$B$228,B179,Datos!$M$5:$M$228,1))</f>
        <v/>
      </c>
      <c r="E179" s="8" t="str">
        <f>IF(J179=0,"",SUMIFS(Datos!$G$5:$G$228,Datos!$A$5:$A$228,A179,Datos!$B$5:$B$228,B179,Datos!$M$5:$M$228,1))</f>
        <v/>
      </c>
      <c r="F179" s="8" t="str">
        <f t="shared" si="17"/>
        <v/>
      </c>
      <c r="G179" s="8" t="str">
        <f>IF(COUNTIFS(Datos!$A$5:$A$228,A179,Datos!$B$5:$B$228,B179,Datos!$M$5:$M$228,1,Datos!$Q$5:$Q$228,"&gt;0")=0,"Pendiente GPS",_xlfn.MAXIFS(Datos!$Q$5:$Q$228,Datos!$A$5:$A$228,A179,Datos!$B$5:$B$228,B179,Datos!$M$5:$M$228,1))</f>
        <v>Pendiente GPS</v>
      </c>
      <c r="H179" t="str">
        <f t="shared" si="18"/>
        <v>Sin registro</v>
      </c>
      <c r="I179" t="str">
        <f>IF(J179=0,"",SUMIFS(Datos!$F$5:$F$228,Datos!$A$5:$A$228,A179,Datos!$B$5:$B$228,B179,Datos!$M$5:$M$228,1))</f>
        <v/>
      </c>
      <c r="J179">
        <f>COUNTIFS(Datos!$A$5:$A$228,A179,Datos!$B$5:$B$228,B179,Datos!$M$5:$M$228,1)</f>
        <v>0</v>
      </c>
    </row>
    <row r="180" spans="1:10">
      <c r="A180" s="5">
        <f>A48</f>
        <v>46291</v>
      </c>
      <c r="B180" t="s">
        <v>40</v>
      </c>
      <c r="C180" t="s">
        <v>41</v>
      </c>
      <c r="D180" s="8" t="str">
        <f>IF(J180=0,"",SUMIFS(Datos!$E$5:$E$228,Datos!$A$5:$A$228,A180,Datos!$B$5:$B$228,B180,Datos!$M$5:$M$228,1))</f>
        <v/>
      </c>
      <c r="E180" s="8" t="str">
        <f>IF(J180=0,"",SUMIFS(Datos!$G$5:$G$228,Datos!$A$5:$A$228,A180,Datos!$B$5:$B$228,B180,Datos!$M$5:$M$228,1))</f>
        <v/>
      </c>
      <c r="F180" s="8" t="str">
        <f t="shared" si="17"/>
        <v/>
      </c>
      <c r="G180" s="8" t="str">
        <f>IF(COUNTIFS(Datos!$A$5:$A$228,A180,Datos!$B$5:$B$228,B180,Datos!$M$5:$M$228,1,Datos!$Q$5:$Q$228,"&gt;0")=0,"Pendiente GPS",_xlfn.MAXIFS(Datos!$Q$5:$Q$228,Datos!$A$5:$A$228,A180,Datos!$B$5:$B$228,B180,Datos!$M$5:$M$228,1))</f>
        <v>Pendiente GPS</v>
      </c>
      <c r="H180" t="str">
        <f t="shared" si="18"/>
        <v>Sin registro</v>
      </c>
      <c r="I180" t="str">
        <f>IF(J180=0,"",SUMIFS(Datos!$F$5:$F$228,Datos!$A$5:$A$228,A180,Datos!$B$5:$B$228,B180,Datos!$M$5:$M$228,1))</f>
        <v/>
      </c>
      <c r="J180">
        <f>COUNTIFS(Datos!$A$5:$A$228,A180,Datos!$B$5:$B$228,B180,Datos!$M$5:$M$228,1)</f>
        <v>0</v>
      </c>
    </row>
  </sheetData>
  <dataValidations count="4">
    <dataValidation type="list" sqref="B5" xr:uid="{00000000-0002-0000-0000-000000000000}">
      <formula1>"Todas,Volquete,Camioneta,Minibús,Combi"</formula1>
    </dataValidation>
    <dataValidation type="list" sqref="E5" xr:uid="{00000000-0002-0000-0000-000001000000}">
      <formula1>"Ambos,Día,Noche"</formula1>
    </dataValidation>
    <dataValidation type="list" sqref="M5" xr:uid="{00000000-0002-0000-0000-000002000000}">
      <formula1>"Todas,VOL-01,VOL-02,VOL-03,VOL-04,CAM-01,CAM-02,MIN-01,COM-01"</formula1>
    </dataValidation>
    <dataValidation type="whole" sqref="O5" xr:uid="{00000000-0002-0000-0000-000003000000}">
      <formula1>1</formula1>
      <formula2>1440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22"/>
  <sheetViews>
    <sheetView zoomScale="70" zoomScaleNormal="70" workbookViewId="0">
      <selection activeCell="A7" sqref="A7"/>
    </sheetView>
  </sheetViews>
  <sheetFormatPr baseColWidth="10" defaultColWidth="8.75" defaultRowHeight="14.25"/>
  <cols>
    <col min="1" max="1" width="125" customWidth="1"/>
    <col min="2" max="2" width="110" customWidth="1"/>
    <col min="3" max="3" width="98" customWidth="1"/>
    <col min="4" max="4" width="110" customWidth="1"/>
    <col min="5" max="5" width="115" customWidth="1"/>
    <col min="6" max="6" width="95" customWidth="1"/>
    <col min="7" max="7" width="115" customWidth="1"/>
    <col min="10" max="10" width="105" customWidth="1"/>
    <col min="12" max="12" width="95" customWidth="1"/>
  </cols>
  <sheetData>
    <row r="2" spans="1:15" ht="15">
      <c r="A2" s="1" t="s">
        <v>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t="s">
        <v>65</v>
      </c>
    </row>
    <row r="4" spans="1:15">
      <c r="A4" t="s">
        <v>2</v>
      </c>
      <c r="D4" t="s">
        <v>3</v>
      </c>
      <c r="G4" t="s">
        <v>4</v>
      </c>
      <c r="I4" t="s">
        <v>5</v>
      </c>
      <c r="L4" t="s">
        <v>6</v>
      </c>
    </row>
    <row r="5" spans="1:15">
      <c r="B5" t="str">
        <f>Seguridad!B5</f>
        <v>Volquete</v>
      </c>
      <c r="E5" t="str">
        <f>Seguridad!E5</f>
        <v>Ambos</v>
      </c>
      <c r="H5">
        <f>Seguridad!H5</f>
        <v>46276</v>
      </c>
      <c r="J5">
        <f>Seguridad!J5</f>
        <v>46291</v>
      </c>
      <c r="M5" t="str">
        <f>Seguridad!M5</f>
        <v>Todas</v>
      </c>
    </row>
    <row r="8" spans="1:15">
      <c r="A8" t="s">
        <v>66</v>
      </c>
      <c r="D8" t="s">
        <v>67</v>
      </c>
      <c r="G8" t="s">
        <v>68</v>
      </c>
      <c r="J8" t="s">
        <v>69</v>
      </c>
    </row>
    <row r="9" spans="1:15">
      <c r="A9">
        <f>SUMIFS(Datos!$E$5:$E$228,Datos!$M$5:$M$228,1)</f>
        <v>7463</v>
      </c>
      <c r="D9">
        <f>SUMIFS(Datos!$F$5:$F$228,Datos!$M$5:$M$228,1)</f>
        <v>806.19999999999993</v>
      </c>
      <c r="G9">
        <f>SUMIFS(Datos!$G$5:$G$228,Datos!$M$5:$M$228,1)</f>
        <v>498.19900000000013</v>
      </c>
      <c r="J9">
        <f>SUMIFS(Datos!$K$5:$K$228,Datos!$M$5:$M$228,1)</f>
        <v>451</v>
      </c>
    </row>
    <row r="12" spans="1:15">
      <c r="A12" t="s">
        <v>70</v>
      </c>
    </row>
    <row r="14" spans="1:15">
      <c r="A14" s="2" t="s">
        <v>6</v>
      </c>
      <c r="B14" s="2" t="s">
        <v>23</v>
      </c>
      <c r="C14" s="2" t="s">
        <v>45</v>
      </c>
      <c r="D14" s="2" t="s">
        <v>55</v>
      </c>
      <c r="E14" s="2" t="s">
        <v>46</v>
      </c>
      <c r="F14" s="2" t="s">
        <v>71</v>
      </c>
      <c r="G14" s="2" t="s">
        <v>56</v>
      </c>
    </row>
    <row r="15" spans="1:15">
      <c r="A15" t="s">
        <v>31</v>
      </c>
      <c r="B15" t="s">
        <v>8</v>
      </c>
      <c r="C15">
        <f>IF(G15=0,"",SUMIFS(Datos!$E$5:$E$228,Datos!$B$5:$B$228,A15,Datos!$M$5:$M$228,1))</f>
        <v>1876</v>
      </c>
      <c r="D15">
        <f>IF(G15=0,"",SUMIFS(Datos!$F$5:$F$228,Datos!$B$5:$B$228,A15,Datos!$M$5:$M$228,1))</f>
        <v>201.4</v>
      </c>
      <c r="E15">
        <f>IF(G15=0,"",SUMIFS(Datos!$G$5:$G$228,Datos!$B$5:$B$228,A15,Datos!$M$5:$M$228,1))</f>
        <v>125.14700000000003</v>
      </c>
      <c r="F15">
        <f>IF(G15=0,"",SUMIFS(Datos!$K$5:$K$228,Datos!$B$5:$B$228,A15,Datos!$M$5:$M$228,1))</f>
        <v>115</v>
      </c>
      <c r="G15">
        <f>COUNTIFS(Datos!$B$5:$B$228,A15,Datos!$M$5:$M$228,1)</f>
        <v>28</v>
      </c>
    </row>
    <row r="16" spans="1:15">
      <c r="A16" t="s">
        <v>32</v>
      </c>
      <c r="B16" t="s">
        <v>8</v>
      </c>
      <c r="C16">
        <f>IF(G16=0,"",SUMIFS(Datos!$E$5:$E$228,Datos!$B$5:$B$228,A16,Datos!$M$5:$M$228,1))</f>
        <v>1827</v>
      </c>
      <c r="D16">
        <f>IF(G16=0,"",SUMIFS(Datos!$F$5:$F$228,Datos!$B$5:$B$228,A16,Datos!$M$5:$M$228,1))</f>
        <v>199</v>
      </c>
      <c r="E16">
        <f>IF(G16=0,"",SUMIFS(Datos!$G$5:$G$228,Datos!$B$5:$B$228,A16,Datos!$M$5:$M$228,1))</f>
        <v>121.937</v>
      </c>
      <c r="F16">
        <f>IF(G16=0,"",SUMIFS(Datos!$K$5:$K$228,Datos!$B$5:$B$228,A16,Datos!$M$5:$M$228,1))</f>
        <v>111</v>
      </c>
      <c r="G16">
        <f>COUNTIFS(Datos!$B$5:$B$228,A16,Datos!$M$5:$M$228,1)</f>
        <v>28</v>
      </c>
    </row>
    <row r="17" spans="1:7">
      <c r="A17" t="s">
        <v>33</v>
      </c>
      <c r="B17" t="s">
        <v>8</v>
      </c>
      <c r="C17">
        <f>IF(G17=0,"",SUMIFS(Datos!$E$5:$E$228,Datos!$B$5:$B$228,A17,Datos!$M$5:$M$228,1))</f>
        <v>1870</v>
      </c>
      <c r="D17">
        <f>IF(G17=0,"",SUMIFS(Datos!$F$5:$F$228,Datos!$B$5:$B$228,A17,Datos!$M$5:$M$228,1))</f>
        <v>201.6</v>
      </c>
      <c r="E17">
        <f>IF(G17=0,"",SUMIFS(Datos!$G$5:$G$228,Datos!$B$5:$B$228,A17,Datos!$M$5:$M$228,1))</f>
        <v>124.90599999999998</v>
      </c>
      <c r="F17">
        <f>IF(G17=0,"",SUMIFS(Datos!$K$5:$K$228,Datos!$B$5:$B$228,A17,Datos!$M$5:$M$228,1))</f>
        <v>112</v>
      </c>
      <c r="G17">
        <f>COUNTIFS(Datos!$B$5:$B$228,A17,Datos!$M$5:$M$228,1)</f>
        <v>28</v>
      </c>
    </row>
    <row r="18" spans="1:7">
      <c r="A18" t="s">
        <v>34</v>
      </c>
      <c r="B18" t="s">
        <v>8</v>
      </c>
      <c r="C18">
        <f>IF(G18=0,"",SUMIFS(Datos!$E$5:$E$228,Datos!$B$5:$B$228,A18,Datos!$M$5:$M$228,1))</f>
        <v>1890</v>
      </c>
      <c r="D18">
        <f>IF(G18=0,"",SUMIFS(Datos!$F$5:$F$228,Datos!$B$5:$B$228,A18,Datos!$M$5:$M$228,1))</f>
        <v>204.2</v>
      </c>
      <c r="E18">
        <f>IF(G18=0,"",SUMIFS(Datos!$G$5:$G$228,Datos!$B$5:$B$228,A18,Datos!$M$5:$M$228,1))</f>
        <v>126.209</v>
      </c>
      <c r="F18">
        <f>IF(G18=0,"",SUMIFS(Datos!$K$5:$K$228,Datos!$B$5:$B$228,A18,Datos!$M$5:$M$228,1))</f>
        <v>113</v>
      </c>
      <c r="G18">
        <f>COUNTIFS(Datos!$B$5:$B$228,A18,Datos!$M$5:$M$228,1)</f>
        <v>28</v>
      </c>
    </row>
    <row r="19" spans="1:7">
      <c r="A19" t="s">
        <v>35</v>
      </c>
      <c r="B19" t="s">
        <v>36</v>
      </c>
      <c r="C19" t="str">
        <f>IF(G19=0,"",SUMIFS(Datos!$E$5:$E$228,Datos!$B$5:$B$228,A19,Datos!$M$5:$M$228,1))</f>
        <v/>
      </c>
      <c r="D19" t="str">
        <f>IF(G19=0,"",SUMIFS(Datos!$F$5:$F$228,Datos!$B$5:$B$228,A19,Datos!$M$5:$M$228,1))</f>
        <v/>
      </c>
      <c r="E19" t="str">
        <f>IF(G19=0,"",SUMIFS(Datos!$G$5:$G$228,Datos!$B$5:$B$228,A19,Datos!$M$5:$M$228,1))</f>
        <v/>
      </c>
      <c r="F19" t="str">
        <f>IF(G19=0,"",SUMIFS(Datos!$K$5:$K$228,Datos!$B$5:$B$228,A19,Datos!$M$5:$M$228,1))</f>
        <v/>
      </c>
      <c r="G19">
        <f>COUNTIFS(Datos!$B$5:$B$228,A19,Datos!$M$5:$M$228,1)</f>
        <v>0</v>
      </c>
    </row>
    <row r="20" spans="1:7">
      <c r="A20" t="s">
        <v>37</v>
      </c>
      <c r="B20" t="s">
        <v>36</v>
      </c>
      <c r="C20" t="str">
        <f>IF(G20=0,"",SUMIFS(Datos!$E$5:$E$228,Datos!$B$5:$B$228,A20,Datos!$M$5:$M$228,1))</f>
        <v/>
      </c>
      <c r="D20" t="str">
        <f>IF(G20=0,"",SUMIFS(Datos!$F$5:$F$228,Datos!$B$5:$B$228,A20,Datos!$M$5:$M$228,1))</f>
        <v/>
      </c>
      <c r="E20" t="str">
        <f>IF(G20=0,"",SUMIFS(Datos!$G$5:$G$228,Datos!$B$5:$B$228,A20,Datos!$M$5:$M$228,1))</f>
        <v/>
      </c>
      <c r="F20" t="str">
        <f>IF(G20=0,"",SUMIFS(Datos!$K$5:$K$228,Datos!$B$5:$B$228,A20,Datos!$M$5:$M$228,1))</f>
        <v/>
      </c>
      <c r="G20">
        <f>COUNTIFS(Datos!$B$5:$B$228,A20,Datos!$M$5:$M$228,1)</f>
        <v>0</v>
      </c>
    </row>
    <row r="21" spans="1:7">
      <c r="A21" t="s">
        <v>38</v>
      </c>
      <c r="B21" t="s">
        <v>39</v>
      </c>
      <c r="C21" t="str">
        <f>IF(G21=0,"",SUMIFS(Datos!$E$5:$E$228,Datos!$B$5:$B$228,A21,Datos!$M$5:$M$228,1))</f>
        <v/>
      </c>
      <c r="D21" t="str">
        <f>IF(G21=0,"",SUMIFS(Datos!$F$5:$F$228,Datos!$B$5:$B$228,A21,Datos!$M$5:$M$228,1))</f>
        <v/>
      </c>
      <c r="E21" t="str">
        <f>IF(G21=0,"",SUMIFS(Datos!$G$5:$G$228,Datos!$B$5:$B$228,A21,Datos!$M$5:$M$228,1))</f>
        <v/>
      </c>
      <c r="F21" t="str">
        <f>IF(G21=0,"",SUMIFS(Datos!$K$5:$K$228,Datos!$B$5:$B$228,A21,Datos!$M$5:$M$228,1))</f>
        <v/>
      </c>
      <c r="G21">
        <f>COUNTIFS(Datos!$B$5:$B$228,A21,Datos!$M$5:$M$228,1)</f>
        <v>0</v>
      </c>
    </row>
    <row r="22" spans="1:7">
      <c r="A22" t="s">
        <v>40</v>
      </c>
      <c r="B22" t="s">
        <v>41</v>
      </c>
      <c r="C22" t="str">
        <f>IF(G22=0,"",SUMIFS(Datos!$E$5:$E$228,Datos!$B$5:$B$228,A22,Datos!$M$5:$M$228,1))</f>
        <v/>
      </c>
      <c r="D22" t="str">
        <f>IF(G22=0,"",SUMIFS(Datos!$F$5:$F$228,Datos!$B$5:$B$228,A22,Datos!$M$5:$M$228,1))</f>
        <v/>
      </c>
      <c r="E22" t="str">
        <f>IF(G22=0,"",SUMIFS(Datos!$G$5:$G$228,Datos!$B$5:$B$228,A22,Datos!$M$5:$M$228,1))</f>
        <v/>
      </c>
      <c r="F22" t="str">
        <f>IF(G22=0,"",SUMIFS(Datos!$K$5:$K$228,Datos!$B$5:$B$228,A22,Datos!$M$5:$M$228,1))</f>
        <v/>
      </c>
      <c r="G22">
        <f>COUNTIFS(Datos!$B$5:$B$228,A22,Datos!$M$5:$M$228,1)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8"/>
  <sheetViews>
    <sheetView workbookViewId="0"/>
  </sheetViews>
  <sheetFormatPr baseColWidth="10" defaultColWidth="8.75" defaultRowHeight="14.25"/>
  <cols>
    <col min="1" max="1" width="108" customWidth="1"/>
    <col min="2" max="2" width="96" customWidth="1"/>
    <col min="3" max="3" width="98" customWidth="1"/>
    <col min="4" max="4" width="74" customWidth="1"/>
    <col min="5" max="5" width="100" customWidth="1"/>
    <col min="6" max="6" width="90" customWidth="1"/>
    <col min="7" max="7" width="110" customWidth="1"/>
    <col min="8" max="8" width="145" customWidth="1"/>
    <col min="9" max="10" width="118" customWidth="1"/>
    <col min="11" max="11" width="85" customWidth="1"/>
    <col min="12" max="12" width="105" customWidth="1"/>
    <col min="13" max="13" width="110" customWidth="1"/>
    <col min="15" max="15" width="115" customWidth="1"/>
    <col min="16" max="16" width="255" customWidth="1"/>
    <col min="17" max="17" width="125" customWidth="1"/>
  </cols>
  <sheetData>
    <row r="1" spans="1:17">
      <c r="A1" t="s">
        <v>72</v>
      </c>
    </row>
    <row r="2" spans="1:17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1:17">
      <c r="A4" s="2" t="s">
        <v>44</v>
      </c>
      <c r="B4" s="2" t="s">
        <v>6</v>
      </c>
      <c r="C4" s="2" t="s">
        <v>23</v>
      </c>
      <c r="D4" s="2" t="s">
        <v>3</v>
      </c>
      <c r="E4" s="2" t="s">
        <v>73</v>
      </c>
      <c r="F4" s="2" t="s">
        <v>55</v>
      </c>
      <c r="G4" s="2" t="s">
        <v>46</v>
      </c>
      <c r="H4" s="2" t="s">
        <v>74</v>
      </c>
      <c r="I4" s="2" t="s">
        <v>75</v>
      </c>
      <c r="J4" s="2" t="s">
        <v>76</v>
      </c>
      <c r="K4" s="2" t="s">
        <v>71</v>
      </c>
      <c r="L4" s="2" t="s">
        <v>77</v>
      </c>
      <c r="M4" s="2" t="s">
        <v>78</v>
      </c>
      <c r="N4" s="2"/>
      <c r="O4" s="2" t="s">
        <v>79</v>
      </c>
      <c r="P4" s="2"/>
      <c r="Q4" s="2" t="s">
        <v>80</v>
      </c>
    </row>
    <row r="5" spans="1:17">
      <c r="A5" s="5">
        <v>46276</v>
      </c>
      <c r="B5" t="s">
        <v>31</v>
      </c>
      <c r="C5" t="s">
        <v>8</v>
      </c>
      <c r="D5" t="s">
        <v>81</v>
      </c>
      <c r="E5">
        <v>64</v>
      </c>
      <c r="F5">
        <v>6.2</v>
      </c>
      <c r="G5">
        <v>4.2780000000000005</v>
      </c>
      <c r="H5">
        <v>2</v>
      </c>
      <c r="I5">
        <v>0</v>
      </c>
      <c r="J5">
        <v>0</v>
      </c>
      <c r="K5">
        <v>4</v>
      </c>
      <c r="L5">
        <v>0</v>
      </c>
      <c r="M5">
        <f>IF(AND(A5&gt;=Seguridad!$H$5,A5&lt;=Seguridad!$J$5,OR(Seguridad!$B$5="Todas",C5=Seguridad!$B$5),OR(Seguridad!$E$5="Ambos",D5=Seguridad!$E$5),OR(Seguridad!$M$5="Todas",B5=Seguridad!$M$5)),1,0)</f>
        <v>1</v>
      </c>
      <c r="O5" t="s">
        <v>82</v>
      </c>
      <c r="P5" t="s">
        <v>83</v>
      </c>
    </row>
    <row r="6" spans="1:17">
      <c r="A6" s="5">
        <v>46276</v>
      </c>
      <c r="B6" t="s">
        <v>31</v>
      </c>
      <c r="C6" t="s">
        <v>8</v>
      </c>
      <c r="D6" t="s">
        <v>84</v>
      </c>
      <c r="E6">
        <v>66</v>
      </c>
      <c r="F6">
        <v>7.3</v>
      </c>
      <c r="G6">
        <v>4.38</v>
      </c>
      <c r="H6">
        <v>1</v>
      </c>
      <c r="I6">
        <v>0</v>
      </c>
      <c r="J6">
        <v>0</v>
      </c>
      <c r="K6">
        <v>5</v>
      </c>
      <c r="L6">
        <v>0</v>
      </c>
      <c r="M6">
        <f>IF(AND(A6&gt;=Seguridad!$H$5,A6&lt;=Seguridad!$J$5,OR(Seguridad!$B$5="Todas",C6=Seguridad!$B$5),OR(Seguridad!$E$5="Ambos",D6=Seguridad!$E$5),OR(Seguridad!$M$5="Todas",B6=Seguridad!$M$5)),1,0)</f>
        <v>1</v>
      </c>
      <c r="O6" t="s">
        <v>85</v>
      </c>
      <c r="P6" t="s">
        <v>86</v>
      </c>
    </row>
    <row r="7" spans="1:17">
      <c r="A7" s="5">
        <v>46277</v>
      </c>
      <c r="B7" t="s">
        <v>31</v>
      </c>
      <c r="C7" t="s">
        <v>8</v>
      </c>
      <c r="D7" t="s">
        <v>81</v>
      </c>
      <c r="E7">
        <v>58</v>
      </c>
      <c r="F7">
        <v>6.9</v>
      </c>
      <c r="G7">
        <v>3.8640000000000008</v>
      </c>
      <c r="H7">
        <v>2</v>
      </c>
      <c r="I7">
        <v>0</v>
      </c>
      <c r="J7">
        <v>0</v>
      </c>
      <c r="K7">
        <v>6</v>
      </c>
      <c r="L7">
        <v>0</v>
      </c>
      <c r="M7">
        <f>IF(AND(A7&gt;=Seguridad!$H$5,A7&lt;=Seguridad!$J$5,OR(Seguridad!$B$5="Todas",C7=Seguridad!$B$5),OR(Seguridad!$E$5="Ambos",D7=Seguridad!$E$5),OR(Seguridad!$M$5="Todas",B7=Seguridad!$M$5)),1,0)</f>
        <v>1</v>
      </c>
      <c r="O7" t="s">
        <v>87</v>
      </c>
      <c r="P7" t="s">
        <v>88</v>
      </c>
    </row>
    <row r="8" spans="1:17">
      <c r="A8" s="5">
        <v>46277</v>
      </c>
      <c r="B8" t="s">
        <v>31</v>
      </c>
      <c r="C8" t="s">
        <v>8</v>
      </c>
      <c r="D8" t="s">
        <v>84</v>
      </c>
      <c r="E8">
        <v>80</v>
      </c>
      <c r="F8">
        <v>8</v>
      </c>
      <c r="G8">
        <v>5.36</v>
      </c>
      <c r="H8">
        <v>0</v>
      </c>
      <c r="I8">
        <v>0</v>
      </c>
      <c r="J8">
        <v>1</v>
      </c>
      <c r="K8">
        <v>2</v>
      </c>
      <c r="L8">
        <v>0</v>
      </c>
      <c r="M8">
        <f>IF(AND(A8&gt;=Seguridad!$H$5,A8&lt;=Seguridad!$J$5,OR(Seguridad!$B$5="Todas",C8=Seguridad!$B$5),OR(Seguridad!$E$5="Ambos",D8=Seguridad!$E$5),OR(Seguridad!$M$5="Todas",B8=Seguridad!$M$5)),1,0)</f>
        <v>1</v>
      </c>
    </row>
    <row r="9" spans="1:17">
      <c r="A9" s="5">
        <v>46278</v>
      </c>
      <c r="B9" t="s">
        <v>31</v>
      </c>
      <c r="C9" t="s">
        <v>8</v>
      </c>
      <c r="D9" t="s">
        <v>81</v>
      </c>
      <c r="E9">
        <v>72</v>
      </c>
      <c r="F9">
        <v>7.6</v>
      </c>
      <c r="G9">
        <v>4.7879999999999994</v>
      </c>
      <c r="H9">
        <v>2</v>
      </c>
      <c r="I9">
        <v>1</v>
      </c>
      <c r="J9">
        <v>0</v>
      </c>
      <c r="K9">
        <v>3</v>
      </c>
      <c r="L9">
        <v>0</v>
      </c>
      <c r="M9">
        <f>IF(AND(A9&gt;=Seguridad!$H$5,A9&lt;=Seguridad!$J$5,OR(Seguridad!$B$5="Todas",C9=Seguridad!$B$5),OR(Seguridad!$E$5="Ambos",D9=Seguridad!$E$5),OR(Seguridad!$M$5="Todas",B9=Seguridad!$M$5)),1,0)</f>
        <v>1</v>
      </c>
    </row>
    <row r="10" spans="1:17">
      <c r="A10" s="5">
        <v>46278</v>
      </c>
      <c r="B10" t="s">
        <v>31</v>
      </c>
      <c r="C10" t="s">
        <v>8</v>
      </c>
      <c r="D10" t="s">
        <v>84</v>
      </c>
      <c r="E10">
        <v>50</v>
      </c>
      <c r="F10">
        <v>6.2</v>
      </c>
      <c r="G10">
        <v>3.3480000000000003</v>
      </c>
      <c r="H10">
        <v>0</v>
      </c>
      <c r="I10">
        <v>0</v>
      </c>
      <c r="J10">
        <v>0</v>
      </c>
      <c r="K10">
        <v>4</v>
      </c>
      <c r="L10">
        <v>0</v>
      </c>
      <c r="M10">
        <f>IF(AND(A10&gt;=Seguridad!$H$5,A10&lt;=Seguridad!$J$5,OR(Seguridad!$B$5="Todas",C10=Seguridad!$B$5),OR(Seguridad!$E$5="Ambos",D10=Seguridad!$E$5),OR(Seguridad!$M$5="Todas",B10=Seguridad!$M$5)),1,0)</f>
        <v>1</v>
      </c>
    </row>
    <row r="11" spans="1:17">
      <c r="A11" s="5">
        <v>46279</v>
      </c>
      <c r="B11" t="s">
        <v>31</v>
      </c>
      <c r="C11" t="s">
        <v>8</v>
      </c>
      <c r="D11" t="s">
        <v>81</v>
      </c>
      <c r="E11">
        <v>87</v>
      </c>
      <c r="F11">
        <v>8.3000000000000007</v>
      </c>
      <c r="G11">
        <v>5.8100000000000005</v>
      </c>
      <c r="H11">
        <v>2</v>
      </c>
      <c r="I11">
        <v>0</v>
      </c>
      <c r="J11">
        <v>0</v>
      </c>
      <c r="K11">
        <v>5</v>
      </c>
      <c r="L11">
        <v>0</v>
      </c>
      <c r="M11">
        <f>IF(AND(A11&gt;=Seguridad!$H$5,A11&lt;=Seguridad!$J$5,OR(Seguridad!$B$5="Todas",C11=Seguridad!$B$5),OR(Seguridad!$E$5="Ambos",D11=Seguridad!$E$5),OR(Seguridad!$M$5="Todas",B11=Seguridad!$M$5)),1,0)</f>
        <v>1</v>
      </c>
    </row>
    <row r="12" spans="1:17">
      <c r="A12" s="5">
        <v>46279</v>
      </c>
      <c r="B12" t="s">
        <v>31</v>
      </c>
      <c r="C12" t="s">
        <v>8</v>
      </c>
      <c r="D12" t="s">
        <v>84</v>
      </c>
      <c r="E12">
        <v>63</v>
      </c>
      <c r="F12">
        <v>6.9</v>
      </c>
      <c r="G12">
        <v>4.2090000000000005</v>
      </c>
      <c r="H12">
        <v>0</v>
      </c>
      <c r="I12">
        <v>0</v>
      </c>
      <c r="J12">
        <v>0</v>
      </c>
      <c r="K12">
        <v>6</v>
      </c>
      <c r="L12">
        <v>0</v>
      </c>
      <c r="M12">
        <f>IF(AND(A12&gt;=Seguridad!$H$5,A12&lt;=Seguridad!$J$5,OR(Seguridad!$B$5="Todas",C12=Seguridad!$B$5),OR(Seguridad!$E$5="Ambos",D12=Seguridad!$E$5),OR(Seguridad!$M$5="Todas",B12=Seguridad!$M$5)),1,0)</f>
        <v>1</v>
      </c>
    </row>
    <row r="13" spans="1:17">
      <c r="A13" s="5">
        <v>46280</v>
      </c>
      <c r="B13" t="s">
        <v>31</v>
      </c>
      <c r="C13" t="s">
        <v>8</v>
      </c>
      <c r="D13" t="s">
        <v>81</v>
      </c>
      <c r="E13">
        <v>56</v>
      </c>
      <c r="F13">
        <v>6.5</v>
      </c>
      <c r="G13">
        <v>3.7050000000000005</v>
      </c>
      <c r="H13">
        <v>2</v>
      </c>
      <c r="I13">
        <v>0</v>
      </c>
      <c r="J13">
        <v>0</v>
      </c>
      <c r="K13">
        <v>2</v>
      </c>
      <c r="L13">
        <v>0</v>
      </c>
      <c r="M13">
        <f>IF(AND(A13&gt;=Seguridad!$H$5,A13&lt;=Seguridad!$J$5,OR(Seguridad!$B$5="Todas",C13=Seguridad!$B$5),OR(Seguridad!$E$5="Ambos",D13=Seguridad!$E$5),OR(Seguridad!$M$5="Todas",B13=Seguridad!$M$5)),1,0)</f>
        <v>1</v>
      </c>
    </row>
    <row r="14" spans="1:17">
      <c r="A14" s="5">
        <v>46280</v>
      </c>
      <c r="B14" t="s">
        <v>31</v>
      </c>
      <c r="C14" t="s">
        <v>8</v>
      </c>
      <c r="D14" t="s">
        <v>84</v>
      </c>
      <c r="E14">
        <v>78</v>
      </c>
      <c r="F14">
        <v>7.6</v>
      </c>
      <c r="G14">
        <v>5.1680000000000001</v>
      </c>
      <c r="H14">
        <v>1</v>
      </c>
      <c r="I14">
        <v>0</v>
      </c>
      <c r="J14">
        <v>0</v>
      </c>
      <c r="K14">
        <v>3</v>
      </c>
      <c r="L14">
        <v>0</v>
      </c>
      <c r="M14">
        <f>IF(AND(A14&gt;=Seguridad!$H$5,A14&lt;=Seguridad!$J$5,OR(Seguridad!$B$5="Todas",C14=Seguridad!$B$5),OR(Seguridad!$E$5="Ambos",D14=Seguridad!$E$5),OR(Seguridad!$M$5="Todas",B14=Seguridad!$M$5)),1,0)</f>
        <v>1</v>
      </c>
    </row>
    <row r="15" spans="1:17">
      <c r="A15" s="5">
        <v>46281</v>
      </c>
      <c r="B15" t="s">
        <v>31</v>
      </c>
      <c r="C15" t="s">
        <v>8</v>
      </c>
      <c r="D15" t="s">
        <v>81</v>
      </c>
      <c r="E15">
        <v>69</v>
      </c>
      <c r="F15">
        <v>7.2</v>
      </c>
      <c r="G15">
        <v>4.6080000000000005</v>
      </c>
      <c r="H15">
        <v>2</v>
      </c>
      <c r="I15">
        <v>0</v>
      </c>
      <c r="J15">
        <v>0</v>
      </c>
      <c r="K15">
        <v>4</v>
      </c>
      <c r="L15">
        <v>0</v>
      </c>
      <c r="M15">
        <f>IF(AND(A15&gt;=Seguridad!$H$5,A15&lt;=Seguridad!$J$5,OR(Seguridad!$B$5="Todas",C15=Seguridad!$B$5),OR(Seguridad!$E$5="Ambos",D15=Seguridad!$E$5),OR(Seguridad!$M$5="Todas",B15=Seguridad!$M$5)),1,0)</f>
        <v>1</v>
      </c>
    </row>
    <row r="16" spans="1:17">
      <c r="A16" s="5">
        <v>46281</v>
      </c>
      <c r="B16" t="s">
        <v>31</v>
      </c>
      <c r="C16" t="s">
        <v>8</v>
      </c>
      <c r="D16" t="s">
        <v>84</v>
      </c>
      <c r="E16">
        <v>68</v>
      </c>
      <c r="F16">
        <v>8.3000000000000007</v>
      </c>
      <c r="G16">
        <v>4.5650000000000004</v>
      </c>
      <c r="H16">
        <v>0</v>
      </c>
      <c r="I16">
        <v>0</v>
      </c>
      <c r="J16">
        <v>0</v>
      </c>
      <c r="K16">
        <v>5</v>
      </c>
      <c r="L16">
        <v>0</v>
      </c>
      <c r="M16">
        <f>IF(AND(A16&gt;=Seguridad!$H$5,A16&lt;=Seguridad!$J$5,OR(Seguridad!$B$5="Todas",C16=Seguridad!$B$5),OR(Seguridad!$E$5="Ambos",D16=Seguridad!$E$5),OR(Seguridad!$M$5="Todas",B16=Seguridad!$M$5)),1,0)</f>
        <v>1</v>
      </c>
    </row>
    <row r="17" spans="1:13">
      <c r="A17" s="5">
        <v>46282</v>
      </c>
      <c r="B17" t="s">
        <v>31</v>
      </c>
      <c r="C17" t="s">
        <v>8</v>
      </c>
      <c r="D17" t="s">
        <v>81</v>
      </c>
      <c r="E17">
        <v>84</v>
      </c>
      <c r="F17">
        <v>7.9</v>
      </c>
      <c r="G17">
        <v>5.609</v>
      </c>
      <c r="H17">
        <v>2</v>
      </c>
      <c r="I17">
        <v>0</v>
      </c>
      <c r="J17">
        <v>0</v>
      </c>
      <c r="K17">
        <v>6</v>
      </c>
      <c r="L17">
        <v>0</v>
      </c>
      <c r="M17">
        <f>IF(AND(A17&gt;=Seguridad!$H$5,A17&lt;=Seguridad!$J$5,OR(Seguridad!$B$5="Todas",C17=Seguridad!$B$5),OR(Seguridad!$E$5="Ambos",D17=Seguridad!$E$5),OR(Seguridad!$M$5="Todas",B17=Seguridad!$M$5)),1,0)</f>
        <v>1</v>
      </c>
    </row>
    <row r="18" spans="1:13">
      <c r="A18" s="5">
        <v>46282</v>
      </c>
      <c r="B18" t="s">
        <v>31</v>
      </c>
      <c r="C18" t="s">
        <v>8</v>
      </c>
      <c r="D18" t="s">
        <v>84</v>
      </c>
      <c r="E18">
        <v>60</v>
      </c>
      <c r="F18">
        <v>6.5</v>
      </c>
      <c r="G18">
        <v>4.03</v>
      </c>
      <c r="H18">
        <v>0</v>
      </c>
      <c r="I18">
        <v>1</v>
      </c>
      <c r="J18">
        <v>0</v>
      </c>
      <c r="K18">
        <v>2</v>
      </c>
      <c r="L18">
        <v>0</v>
      </c>
      <c r="M18">
        <f>IF(AND(A18&gt;=Seguridad!$H$5,A18&lt;=Seguridad!$J$5,OR(Seguridad!$B$5="Todas",C18=Seguridad!$B$5),OR(Seguridad!$E$5="Ambos",D18=Seguridad!$E$5),OR(Seguridad!$M$5="Todas",B18=Seguridad!$M$5)),1,0)</f>
        <v>1</v>
      </c>
    </row>
    <row r="19" spans="1:13">
      <c r="A19" s="5">
        <v>46283</v>
      </c>
      <c r="B19" t="s">
        <v>31</v>
      </c>
      <c r="C19" t="s">
        <v>8</v>
      </c>
      <c r="D19" t="s">
        <v>81</v>
      </c>
      <c r="E19">
        <v>53</v>
      </c>
      <c r="F19">
        <v>6.1</v>
      </c>
      <c r="G19">
        <v>3.5380000000000003</v>
      </c>
      <c r="H19">
        <v>2</v>
      </c>
      <c r="I19">
        <v>0</v>
      </c>
      <c r="J19">
        <v>0</v>
      </c>
      <c r="K19">
        <v>3</v>
      </c>
      <c r="L19">
        <v>0</v>
      </c>
      <c r="M19">
        <f>IF(AND(A19&gt;=Seguridad!$H$5,A19&lt;=Seguridad!$J$5,OR(Seguridad!$B$5="Todas",C19=Seguridad!$B$5),OR(Seguridad!$E$5="Ambos",D19=Seguridad!$E$5),OR(Seguridad!$M$5="Todas",B19=Seguridad!$M$5)),1,0)</f>
        <v>1</v>
      </c>
    </row>
    <row r="20" spans="1:13">
      <c r="A20" s="5">
        <v>46283</v>
      </c>
      <c r="B20" t="s">
        <v>31</v>
      </c>
      <c r="C20" t="s">
        <v>8</v>
      </c>
      <c r="D20" t="s">
        <v>84</v>
      </c>
      <c r="E20">
        <v>75</v>
      </c>
      <c r="F20">
        <v>7.2</v>
      </c>
      <c r="G20">
        <v>4.9680000000000009</v>
      </c>
      <c r="H20">
        <v>0</v>
      </c>
      <c r="I20">
        <v>0</v>
      </c>
      <c r="J20">
        <v>0</v>
      </c>
      <c r="K20">
        <v>4</v>
      </c>
      <c r="L20">
        <v>0</v>
      </c>
      <c r="M20">
        <f>IF(AND(A20&gt;=Seguridad!$H$5,A20&lt;=Seguridad!$J$5,OR(Seguridad!$B$5="Todas",C20=Seguridad!$B$5),OR(Seguridad!$E$5="Ambos",D20=Seguridad!$E$5),OR(Seguridad!$M$5="Todas",B20=Seguridad!$M$5)),1,0)</f>
        <v>1</v>
      </c>
    </row>
    <row r="21" spans="1:13">
      <c r="A21" s="5">
        <v>46284</v>
      </c>
      <c r="B21" t="s">
        <v>31</v>
      </c>
      <c r="C21" t="s">
        <v>8</v>
      </c>
      <c r="D21" t="s">
        <v>81</v>
      </c>
      <c r="E21">
        <v>66</v>
      </c>
      <c r="F21">
        <v>6.8</v>
      </c>
      <c r="G21">
        <v>4.42</v>
      </c>
      <c r="H21">
        <v>2</v>
      </c>
      <c r="I21">
        <v>0</v>
      </c>
      <c r="J21">
        <v>1</v>
      </c>
      <c r="K21">
        <v>5</v>
      </c>
      <c r="L21">
        <v>0</v>
      </c>
      <c r="M21">
        <f>IF(AND(A21&gt;=Seguridad!$H$5,A21&lt;=Seguridad!$J$5,OR(Seguridad!$B$5="Todas",C21=Seguridad!$B$5),OR(Seguridad!$E$5="Ambos",D21=Seguridad!$E$5),OR(Seguridad!$M$5="Todas",B21=Seguridad!$M$5)),1,0)</f>
        <v>1</v>
      </c>
    </row>
    <row r="22" spans="1:13">
      <c r="A22" s="5">
        <v>46284</v>
      </c>
      <c r="B22" t="s">
        <v>31</v>
      </c>
      <c r="C22" t="s">
        <v>8</v>
      </c>
      <c r="D22" t="s">
        <v>84</v>
      </c>
      <c r="E22">
        <v>66</v>
      </c>
      <c r="F22">
        <v>7.9</v>
      </c>
      <c r="G22">
        <v>4.4240000000000004</v>
      </c>
      <c r="H22">
        <v>1</v>
      </c>
      <c r="I22">
        <v>0</v>
      </c>
      <c r="J22">
        <v>0</v>
      </c>
      <c r="K22">
        <v>6</v>
      </c>
      <c r="L22">
        <v>0</v>
      </c>
      <c r="M22">
        <f>IF(AND(A22&gt;=Seguridad!$H$5,A22&lt;=Seguridad!$J$5,OR(Seguridad!$B$5="Todas",C22=Seguridad!$B$5),OR(Seguridad!$E$5="Ambos",D22=Seguridad!$E$5),OR(Seguridad!$M$5="Todas",B22=Seguridad!$M$5)),1,0)</f>
        <v>1</v>
      </c>
    </row>
    <row r="23" spans="1:13">
      <c r="A23" s="5">
        <v>46285</v>
      </c>
      <c r="B23" t="s">
        <v>31</v>
      </c>
      <c r="C23" t="s">
        <v>8</v>
      </c>
      <c r="D23" t="s">
        <v>81</v>
      </c>
      <c r="E23">
        <v>59</v>
      </c>
      <c r="F23">
        <v>7.5</v>
      </c>
      <c r="G23">
        <v>3.9000000000000004</v>
      </c>
      <c r="H23">
        <v>2</v>
      </c>
      <c r="I23">
        <v>0</v>
      </c>
      <c r="J23">
        <v>0</v>
      </c>
      <c r="K23">
        <v>2</v>
      </c>
      <c r="L23">
        <v>0</v>
      </c>
      <c r="M23">
        <f>IF(AND(A23&gt;=Seguridad!$H$5,A23&lt;=Seguridad!$J$5,OR(Seguridad!$B$5="Todas",C23=Seguridad!$B$5),OR(Seguridad!$E$5="Ambos",D23=Seguridad!$E$5),OR(Seguridad!$M$5="Todas",B23=Seguridad!$M$5)),1,0)</f>
        <v>1</v>
      </c>
    </row>
    <row r="24" spans="1:13">
      <c r="A24" s="5">
        <v>46285</v>
      </c>
      <c r="B24" t="s">
        <v>31</v>
      </c>
      <c r="C24" t="s">
        <v>8</v>
      </c>
      <c r="D24" t="s">
        <v>84</v>
      </c>
      <c r="E24">
        <v>58</v>
      </c>
      <c r="F24">
        <v>6.1</v>
      </c>
      <c r="G24">
        <v>3.843</v>
      </c>
      <c r="H24">
        <v>0</v>
      </c>
      <c r="I24">
        <v>0</v>
      </c>
      <c r="J24">
        <v>0</v>
      </c>
      <c r="K24">
        <v>3</v>
      </c>
      <c r="L24">
        <v>0</v>
      </c>
      <c r="M24">
        <f>IF(AND(A24&gt;=Seguridad!$H$5,A24&lt;=Seguridad!$J$5,OR(Seguridad!$B$5="Todas",C24=Seguridad!$B$5),OR(Seguridad!$E$5="Ambos",D24=Seguridad!$E$5),OR(Seguridad!$M$5="Todas",B24=Seguridad!$M$5)),1,0)</f>
        <v>1</v>
      </c>
    </row>
    <row r="25" spans="1:13">
      <c r="A25" s="5">
        <v>46286</v>
      </c>
      <c r="B25" t="s">
        <v>31</v>
      </c>
      <c r="C25" t="s">
        <v>8</v>
      </c>
      <c r="D25" t="s">
        <v>81</v>
      </c>
      <c r="E25">
        <v>73</v>
      </c>
      <c r="F25">
        <v>8.1999999999999993</v>
      </c>
      <c r="G25">
        <v>4.8380000000000001</v>
      </c>
      <c r="H25">
        <v>2</v>
      </c>
      <c r="I25">
        <v>0</v>
      </c>
      <c r="J25">
        <v>0</v>
      </c>
      <c r="K25">
        <v>4</v>
      </c>
      <c r="L25">
        <v>0</v>
      </c>
      <c r="M25">
        <f>IF(AND(A25&gt;=Seguridad!$H$5,A25&lt;=Seguridad!$J$5,OR(Seguridad!$B$5="Todas",C25=Seguridad!$B$5),OR(Seguridad!$E$5="Ambos",D25=Seguridad!$E$5),OR(Seguridad!$M$5="Todas",B25=Seguridad!$M$5)),1,0)</f>
        <v>1</v>
      </c>
    </row>
    <row r="26" spans="1:13">
      <c r="A26" s="5">
        <v>46286</v>
      </c>
      <c r="B26" t="s">
        <v>31</v>
      </c>
      <c r="C26" t="s">
        <v>8</v>
      </c>
      <c r="D26" t="s">
        <v>84</v>
      </c>
      <c r="E26">
        <v>71</v>
      </c>
      <c r="F26">
        <v>6.8</v>
      </c>
      <c r="G26">
        <v>4.76</v>
      </c>
      <c r="H26">
        <v>0</v>
      </c>
      <c r="I26">
        <v>0</v>
      </c>
      <c r="J26">
        <v>0</v>
      </c>
      <c r="K26">
        <v>5</v>
      </c>
      <c r="L26">
        <v>0</v>
      </c>
      <c r="M26">
        <f>IF(AND(A26&gt;=Seguridad!$H$5,A26&lt;=Seguridad!$J$5,OR(Seguridad!$B$5="Todas",C26=Seguridad!$B$5),OR(Seguridad!$E$5="Ambos",D26=Seguridad!$E$5),OR(Seguridad!$M$5="Todas",B26=Seguridad!$M$5)),1,0)</f>
        <v>1</v>
      </c>
    </row>
    <row r="27" spans="1:13">
      <c r="A27" s="5">
        <v>46287</v>
      </c>
      <c r="B27" t="s">
        <v>31</v>
      </c>
      <c r="C27" t="s">
        <v>8</v>
      </c>
      <c r="D27" t="s">
        <v>81</v>
      </c>
      <c r="E27">
        <v>63</v>
      </c>
      <c r="F27">
        <v>6.4</v>
      </c>
      <c r="G27">
        <v>4.2240000000000002</v>
      </c>
      <c r="H27">
        <v>2</v>
      </c>
      <c r="I27">
        <v>0</v>
      </c>
      <c r="J27">
        <v>0</v>
      </c>
      <c r="K27">
        <v>6</v>
      </c>
      <c r="L27">
        <v>0</v>
      </c>
      <c r="M27">
        <f>IF(AND(A27&gt;=Seguridad!$H$5,A27&lt;=Seguridad!$J$5,OR(Seguridad!$B$5="Todas",C27=Seguridad!$B$5),OR(Seguridad!$E$5="Ambos",D27=Seguridad!$E$5),OR(Seguridad!$M$5="Todas",B27=Seguridad!$M$5)),1,0)</f>
        <v>1</v>
      </c>
    </row>
    <row r="28" spans="1:13">
      <c r="A28" s="5">
        <v>46287</v>
      </c>
      <c r="B28" t="s">
        <v>31</v>
      </c>
      <c r="C28" t="s">
        <v>8</v>
      </c>
      <c r="D28" t="s">
        <v>84</v>
      </c>
      <c r="E28">
        <v>64</v>
      </c>
      <c r="F28">
        <v>7.5</v>
      </c>
      <c r="G28">
        <v>4.2750000000000004</v>
      </c>
      <c r="H28">
        <v>0</v>
      </c>
      <c r="I28">
        <v>0</v>
      </c>
      <c r="J28">
        <v>0</v>
      </c>
      <c r="K28">
        <v>2</v>
      </c>
      <c r="L28">
        <v>0</v>
      </c>
      <c r="M28">
        <f>IF(AND(A28&gt;=Seguridad!$H$5,A28&lt;=Seguridad!$J$5,OR(Seguridad!$B$5="Todas",C28=Seguridad!$B$5),OR(Seguridad!$E$5="Ambos",D28=Seguridad!$E$5),OR(Seguridad!$M$5="Todas",B28=Seguridad!$M$5)),1,0)</f>
        <v>1</v>
      </c>
    </row>
    <row r="29" spans="1:13">
      <c r="A29" s="5">
        <v>46288</v>
      </c>
      <c r="B29" t="s">
        <v>31</v>
      </c>
      <c r="C29" t="s">
        <v>8</v>
      </c>
      <c r="D29" t="s">
        <v>81</v>
      </c>
      <c r="E29">
        <v>56</v>
      </c>
      <c r="F29">
        <v>7.1</v>
      </c>
      <c r="G29">
        <v>3.7629999999999999</v>
      </c>
      <c r="H29">
        <v>2</v>
      </c>
      <c r="I29">
        <v>0</v>
      </c>
      <c r="J29">
        <v>0</v>
      </c>
      <c r="K29">
        <v>3</v>
      </c>
      <c r="L29">
        <v>1</v>
      </c>
      <c r="M29">
        <f>IF(AND(A29&gt;=Seguridad!$H$5,A29&lt;=Seguridad!$J$5,OR(Seguridad!$B$5="Todas",C29=Seguridad!$B$5),OR(Seguridad!$E$5="Ambos",D29=Seguridad!$E$5),OR(Seguridad!$M$5="Todas",B29=Seguridad!$M$5)),1,0)</f>
        <v>1</v>
      </c>
    </row>
    <row r="30" spans="1:13">
      <c r="A30" s="5">
        <v>46288</v>
      </c>
      <c r="B30" t="s">
        <v>31</v>
      </c>
      <c r="C30" t="s">
        <v>8</v>
      </c>
      <c r="D30" t="s">
        <v>84</v>
      </c>
      <c r="E30">
        <v>79</v>
      </c>
      <c r="F30">
        <v>8.1999999999999993</v>
      </c>
      <c r="G30">
        <v>5.2479999999999993</v>
      </c>
      <c r="H30">
        <v>1</v>
      </c>
      <c r="I30">
        <v>0</v>
      </c>
      <c r="J30">
        <v>0</v>
      </c>
      <c r="K30">
        <v>4</v>
      </c>
      <c r="L30">
        <v>0</v>
      </c>
      <c r="M30">
        <f>IF(AND(A30&gt;=Seguridad!$H$5,A30&lt;=Seguridad!$J$5,OR(Seguridad!$B$5="Todas",C30=Seguridad!$B$5),OR(Seguridad!$E$5="Ambos",D30=Seguridad!$E$5),OR(Seguridad!$M$5="Todas",B30=Seguridad!$M$5)),1,0)</f>
        <v>1</v>
      </c>
    </row>
    <row r="31" spans="1:13">
      <c r="A31" s="5">
        <v>46289</v>
      </c>
      <c r="B31" t="s">
        <v>31</v>
      </c>
      <c r="C31" t="s">
        <v>8</v>
      </c>
      <c r="D31" t="s">
        <v>81</v>
      </c>
      <c r="E31">
        <v>70</v>
      </c>
      <c r="F31">
        <v>7.8</v>
      </c>
      <c r="G31">
        <v>4.68</v>
      </c>
      <c r="H31">
        <v>2</v>
      </c>
      <c r="I31">
        <v>0</v>
      </c>
      <c r="J31">
        <v>0</v>
      </c>
      <c r="K31">
        <v>5</v>
      </c>
      <c r="L31">
        <v>0</v>
      </c>
      <c r="M31">
        <f>IF(AND(A31&gt;=Seguridad!$H$5,A31&lt;=Seguridad!$J$5,OR(Seguridad!$B$5="Todas",C31=Seguridad!$B$5),OR(Seguridad!$E$5="Ambos",D31=Seguridad!$E$5),OR(Seguridad!$M$5="Todas",B31=Seguridad!$M$5)),1,0)</f>
        <v>1</v>
      </c>
    </row>
    <row r="32" spans="1:13">
      <c r="A32" s="5">
        <v>46289</v>
      </c>
      <c r="B32" t="s">
        <v>31</v>
      </c>
      <c r="C32" t="s">
        <v>8</v>
      </c>
      <c r="D32" t="s">
        <v>84</v>
      </c>
      <c r="E32">
        <v>68</v>
      </c>
      <c r="F32">
        <v>6.4</v>
      </c>
      <c r="G32">
        <v>4.5439999999999996</v>
      </c>
      <c r="H32">
        <v>0</v>
      </c>
      <c r="I32">
        <v>0</v>
      </c>
      <c r="J32">
        <v>0</v>
      </c>
      <c r="K32">
        <v>6</v>
      </c>
      <c r="L32">
        <v>0</v>
      </c>
      <c r="M32">
        <f>IF(AND(A32&gt;=Seguridad!$H$5,A32&lt;=Seguridad!$J$5,OR(Seguridad!$B$5="Todas",C32=Seguridad!$B$5),OR(Seguridad!$E$5="Ambos",D32=Seguridad!$E$5),OR(Seguridad!$M$5="Todas",B32=Seguridad!$M$5)),1,0)</f>
        <v>1</v>
      </c>
    </row>
    <row r="33" spans="1:13">
      <c r="A33" s="5">
        <v>46276</v>
      </c>
      <c r="B33" t="s">
        <v>32</v>
      </c>
      <c r="C33" t="s">
        <v>8</v>
      </c>
      <c r="D33" t="s">
        <v>81</v>
      </c>
      <c r="E33">
        <v>78</v>
      </c>
      <c r="F33">
        <v>7.9</v>
      </c>
      <c r="G33">
        <v>5.2140000000000004</v>
      </c>
      <c r="H33">
        <v>0</v>
      </c>
      <c r="I33">
        <v>0</v>
      </c>
      <c r="J33">
        <v>0</v>
      </c>
      <c r="K33">
        <v>6</v>
      </c>
      <c r="L33">
        <v>0</v>
      </c>
      <c r="M33">
        <f>IF(AND(A33&gt;=Seguridad!$H$5,A33&lt;=Seguridad!$J$5,OR(Seguridad!$B$5="Todas",C33=Seguridad!$B$5),OR(Seguridad!$E$5="Ambos",D33=Seguridad!$E$5),OR(Seguridad!$M$5="Todas",B33=Seguridad!$M$5)),1,0)</f>
        <v>1</v>
      </c>
    </row>
    <row r="34" spans="1:13">
      <c r="A34" s="5">
        <v>46276</v>
      </c>
      <c r="B34" t="s">
        <v>32</v>
      </c>
      <c r="C34" t="s">
        <v>8</v>
      </c>
      <c r="D34" t="s">
        <v>84</v>
      </c>
      <c r="E34">
        <v>56</v>
      </c>
      <c r="F34">
        <v>6.5</v>
      </c>
      <c r="G34">
        <v>3.7050000000000005</v>
      </c>
      <c r="H34">
        <v>2</v>
      </c>
      <c r="I34">
        <v>0</v>
      </c>
      <c r="J34">
        <v>0</v>
      </c>
      <c r="K34">
        <v>2</v>
      </c>
      <c r="L34">
        <v>0</v>
      </c>
      <c r="M34">
        <f>IF(AND(A34&gt;=Seguridad!$H$5,A34&lt;=Seguridad!$J$5,OR(Seguridad!$B$5="Todas",C34=Seguridad!$B$5),OR(Seguridad!$E$5="Ambos",D34=Seguridad!$E$5),OR(Seguridad!$M$5="Todas",B34=Seguridad!$M$5)),1,0)</f>
        <v>1</v>
      </c>
    </row>
    <row r="35" spans="1:13">
      <c r="A35" s="5">
        <v>46277</v>
      </c>
      <c r="B35" t="s">
        <v>32</v>
      </c>
      <c r="C35" t="s">
        <v>8</v>
      </c>
      <c r="D35" t="s">
        <v>81</v>
      </c>
      <c r="E35">
        <v>48</v>
      </c>
      <c r="F35">
        <v>6.1</v>
      </c>
      <c r="G35">
        <v>3.2330000000000001</v>
      </c>
      <c r="H35">
        <v>0</v>
      </c>
      <c r="I35">
        <v>0</v>
      </c>
      <c r="J35">
        <v>0</v>
      </c>
      <c r="K35">
        <v>3</v>
      </c>
      <c r="L35">
        <v>0</v>
      </c>
      <c r="M35">
        <f>IF(AND(A35&gt;=Seguridad!$H$5,A35&lt;=Seguridad!$J$5,OR(Seguridad!$B$5="Todas",C35=Seguridad!$B$5),OR(Seguridad!$E$5="Ambos",D35=Seguridad!$E$5),OR(Seguridad!$M$5="Todas",B35=Seguridad!$M$5)),1,0)</f>
        <v>1</v>
      </c>
    </row>
    <row r="36" spans="1:13">
      <c r="A36" s="5">
        <v>46277</v>
      </c>
      <c r="B36" t="s">
        <v>32</v>
      </c>
      <c r="C36" t="s">
        <v>8</v>
      </c>
      <c r="D36" t="s">
        <v>84</v>
      </c>
      <c r="E36">
        <v>69</v>
      </c>
      <c r="F36">
        <v>7.2</v>
      </c>
      <c r="G36">
        <v>4.6080000000000005</v>
      </c>
      <c r="H36">
        <v>2</v>
      </c>
      <c r="I36">
        <v>0</v>
      </c>
      <c r="J36">
        <v>0</v>
      </c>
      <c r="K36">
        <v>4</v>
      </c>
      <c r="L36">
        <v>0</v>
      </c>
      <c r="M36">
        <f>IF(AND(A36&gt;=Seguridad!$H$5,A36&lt;=Seguridad!$J$5,OR(Seguridad!$B$5="Todas",C36=Seguridad!$B$5),OR(Seguridad!$E$5="Ambos",D36=Seguridad!$E$5),OR(Seguridad!$M$5="Todas",B36=Seguridad!$M$5)),1,0)</f>
        <v>1</v>
      </c>
    </row>
    <row r="37" spans="1:13">
      <c r="A37" s="5">
        <v>46278</v>
      </c>
      <c r="B37" t="s">
        <v>32</v>
      </c>
      <c r="C37" t="s">
        <v>8</v>
      </c>
      <c r="D37" t="s">
        <v>81</v>
      </c>
      <c r="E37">
        <v>61</v>
      </c>
      <c r="F37">
        <v>6.8</v>
      </c>
      <c r="G37">
        <v>4.08</v>
      </c>
      <c r="H37">
        <v>1</v>
      </c>
      <c r="I37">
        <v>0</v>
      </c>
      <c r="J37">
        <v>0</v>
      </c>
      <c r="K37">
        <v>5</v>
      </c>
      <c r="L37">
        <v>0</v>
      </c>
      <c r="M37">
        <f>IF(AND(A37&gt;=Seguridad!$H$5,A37&lt;=Seguridad!$J$5,OR(Seguridad!$B$5="Todas",C37=Seguridad!$B$5),OR(Seguridad!$E$5="Ambos",D37=Seguridad!$E$5),OR(Seguridad!$M$5="Todas",B37=Seguridad!$M$5)),1,0)</f>
        <v>1</v>
      </c>
    </row>
    <row r="38" spans="1:13">
      <c r="A38" s="5">
        <v>46278</v>
      </c>
      <c r="B38" t="s">
        <v>32</v>
      </c>
      <c r="C38" t="s">
        <v>8</v>
      </c>
      <c r="D38" t="s">
        <v>84</v>
      </c>
      <c r="E38">
        <v>84</v>
      </c>
      <c r="F38">
        <v>7.9</v>
      </c>
      <c r="G38">
        <v>5.609</v>
      </c>
      <c r="H38">
        <v>2</v>
      </c>
      <c r="I38">
        <v>0</v>
      </c>
      <c r="J38">
        <v>0</v>
      </c>
      <c r="K38">
        <v>6</v>
      </c>
      <c r="L38">
        <v>0</v>
      </c>
      <c r="M38">
        <f>IF(AND(A38&gt;=Seguridad!$H$5,A38&lt;=Seguridad!$J$5,OR(Seguridad!$B$5="Todas",C38=Seguridad!$B$5),OR(Seguridad!$E$5="Ambos",D38=Seguridad!$E$5),OR(Seguridad!$M$5="Todas",B38=Seguridad!$M$5)),1,0)</f>
        <v>1</v>
      </c>
    </row>
    <row r="39" spans="1:13">
      <c r="A39" s="5">
        <v>46279</v>
      </c>
      <c r="B39" t="s">
        <v>32</v>
      </c>
      <c r="C39" t="s">
        <v>8</v>
      </c>
      <c r="D39" t="s">
        <v>81</v>
      </c>
      <c r="E39">
        <v>75</v>
      </c>
      <c r="F39">
        <v>7.5</v>
      </c>
      <c r="G39">
        <v>5.0250000000000004</v>
      </c>
      <c r="H39">
        <v>0</v>
      </c>
      <c r="I39">
        <v>0</v>
      </c>
      <c r="J39">
        <v>0</v>
      </c>
      <c r="K39">
        <v>2</v>
      </c>
      <c r="L39">
        <v>1</v>
      </c>
      <c r="M39">
        <f>IF(AND(A39&gt;=Seguridad!$H$5,A39&lt;=Seguridad!$J$5,OR(Seguridad!$B$5="Todas",C39=Seguridad!$B$5),OR(Seguridad!$E$5="Ambos",D39=Seguridad!$E$5),OR(Seguridad!$M$5="Todas",B39=Seguridad!$M$5)),1,0)</f>
        <v>1</v>
      </c>
    </row>
    <row r="40" spans="1:13">
      <c r="A40" s="5">
        <v>46279</v>
      </c>
      <c r="B40" t="s">
        <v>32</v>
      </c>
      <c r="C40" t="s">
        <v>8</v>
      </c>
      <c r="D40" t="s">
        <v>84</v>
      </c>
      <c r="E40">
        <v>53</v>
      </c>
      <c r="F40">
        <v>6.1</v>
      </c>
      <c r="G40">
        <v>3.5380000000000003</v>
      </c>
      <c r="H40">
        <v>2</v>
      </c>
      <c r="I40">
        <v>0</v>
      </c>
      <c r="J40">
        <v>0</v>
      </c>
      <c r="K40">
        <v>3</v>
      </c>
      <c r="L40">
        <v>0</v>
      </c>
      <c r="M40">
        <f>IF(AND(A40&gt;=Seguridad!$H$5,A40&lt;=Seguridad!$J$5,OR(Seguridad!$B$5="Todas",C40=Seguridad!$B$5),OR(Seguridad!$E$5="Ambos",D40=Seguridad!$E$5),OR(Seguridad!$M$5="Todas",B40=Seguridad!$M$5)),1,0)</f>
        <v>1</v>
      </c>
    </row>
    <row r="41" spans="1:13">
      <c r="A41" s="5">
        <v>46280</v>
      </c>
      <c r="B41" t="s">
        <v>32</v>
      </c>
      <c r="C41" t="s">
        <v>8</v>
      </c>
      <c r="D41" t="s">
        <v>81</v>
      </c>
      <c r="E41">
        <v>66</v>
      </c>
      <c r="F41">
        <v>8.1999999999999993</v>
      </c>
      <c r="G41">
        <v>4.4279999999999999</v>
      </c>
      <c r="H41">
        <v>0</v>
      </c>
      <c r="I41">
        <v>0</v>
      </c>
      <c r="J41">
        <v>0</v>
      </c>
      <c r="K41">
        <v>4</v>
      </c>
      <c r="L41">
        <v>0</v>
      </c>
      <c r="M41">
        <f>IF(AND(A41&gt;=Seguridad!$H$5,A41&lt;=Seguridad!$J$5,OR(Seguridad!$B$5="Todas",C41=Seguridad!$B$5),OR(Seguridad!$E$5="Ambos",D41=Seguridad!$E$5),OR(Seguridad!$M$5="Todas",B41=Seguridad!$M$5)),1,0)</f>
        <v>1</v>
      </c>
    </row>
    <row r="42" spans="1:13">
      <c r="A42" s="5">
        <v>46280</v>
      </c>
      <c r="B42" t="s">
        <v>32</v>
      </c>
      <c r="C42" t="s">
        <v>8</v>
      </c>
      <c r="D42" t="s">
        <v>84</v>
      </c>
      <c r="E42">
        <v>66</v>
      </c>
      <c r="F42">
        <v>6.8</v>
      </c>
      <c r="G42">
        <v>4.42</v>
      </c>
      <c r="H42">
        <v>2</v>
      </c>
      <c r="I42">
        <v>0</v>
      </c>
      <c r="J42">
        <v>1</v>
      </c>
      <c r="K42">
        <v>5</v>
      </c>
      <c r="L42">
        <v>0</v>
      </c>
      <c r="M42">
        <f>IF(AND(A42&gt;=Seguridad!$H$5,A42&lt;=Seguridad!$J$5,OR(Seguridad!$B$5="Todas",C42=Seguridad!$B$5),OR(Seguridad!$E$5="Ambos",D42=Seguridad!$E$5),OR(Seguridad!$M$5="Todas",B42=Seguridad!$M$5)),1,0)</f>
        <v>1</v>
      </c>
    </row>
    <row r="43" spans="1:13">
      <c r="A43" s="5">
        <v>46281</v>
      </c>
      <c r="B43" t="s">
        <v>32</v>
      </c>
      <c r="C43" t="s">
        <v>8</v>
      </c>
      <c r="D43" t="s">
        <v>81</v>
      </c>
      <c r="E43">
        <v>59</v>
      </c>
      <c r="F43">
        <v>6.4</v>
      </c>
      <c r="G43">
        <v>3.9039999999999999</v>
      </c>
      <c r="H43">
        <v>0</v>
      </c>
      <c r="I43">
        <v>0</v>
      </c>
      <c r="J43">
        <v>0</v>
      </c>
      <c r="K43">
        <v>6</v>
      </c>
      <c r="L43">
        <v>0</v>
      </c>
      <c r="M43">
        <f>IF(AND(A43&gt;=Seguridad!$H$5,A43&lt;=Seguridad!$J$5,OR(Seguridad!$B$5="Todas",C43=Seguridad!$B$5),OR(Seguridad!$E$5="Ambos",D43=Seguridad!$E$5),OR(Seguridad!$M$5="Todas",B43=Seguridad!$M$5)),1,0)</f>
        <v>1</v>
      </c>
    </row>
    <row r="44" spans="1:13">
      <c r="A44" s="5">
        <v>46281</v>
      </c>
      <c r="B44" t="s">
        <v>32</v>
      </c>
      <c r="C44" t="s">
        <v>8</v>
      </c>
      <c r="D44" t="s">
        <v>84</v>
      </c>
      <c r="E44">
        <v>59</v>
      </c>
      <c r="F44">
        <v>7.5</v>
      </c>
      <c r="G44">
        <v>3.9000000000000004</v>
      </c>
      <c r="H44">
        <v>2</v>
      </c>
      <c r="I44">
        <v>0</v>
      </c>
      <c r="J44">
        <v>0</v>
      </c>
      <c r="K44">
        <v>2</v>
      </c>
      <c r="L44">
        <v>0</v>
      </c>
      <c r="M44">
        <f>IF(AND(A44&gt;=Seguridad!$H$5,A44&lt;=Seguridad!$J$5,OR(Seguridad!$B$5="Todas",C44=Seguridad!$B$5),OR(Seguridad!$E$5="Ambos",D44=Seguridad!$E$5),OR(Seguridad!$M$5="Todas",B44=Seguridad!$M$5)),1,0)</f>
        <v>1</v>
      </c>
    </row>
    <row r="45" spans="1:13">
      <c r="A45" s="5">
        <v>46282</v>
      </c>
      <c r="B45" t="s">
        <v>32</v>
      </c>
      <c r="C45" t="s">
        <v>8</v>
      </c>
      <c r="D45" t="s">
        <v>81</v>
      </c>
      <c r="E45">
        <v>72</v>
      </c>
      <c r="F45">
        <v>7.1</v>
      </c>
      <c r="G45">
        <v>4.8280000000000003</v>
      </c>
      <c r="H45">
        <v>1</v>
      </c>
      <c r="I45">
        <v>0</v>
      </c>
      <c r="J45">
        <v>0</v>
      </c>
      <c r="K45">
        <v>3</v>
      </c>
      <c r="L45">
        <v>0</v>
      </c>
      <c r="M45">
        <f>IF(AND(A45&gt;=Seguridad!$H$5,A45&lt;=Seguridad!$J$5,OR(Seguridad!$B$5="Todas",C45=Seguridad!$B$5),OR(Seguridad!$E$5="Ambos",D45=Seguridad!$E$5),OR(Seguridad!$M$5="Todas",B45=Seguridad!$M$5)),1,0)</f>
        <v>1</v>
      </c>
    </row>
    <row r="46" spans="1:13">
      <c r="A46" s="5">
        <v>46282</v>
      </c>
      <c r="B46" t="s">
        <v>32</v>
      </c>
      <c r="C46" t="s">
        <v>8</v>
      </c>
      <c r="D46" t="s">
        <v>84</v>
      </c>
      <c r="E46">
        <v>73</v>
      </c>
      <c r="F46">
        <v>8.1999999999999993</v>
      </c>
      <c r="G46">
        <v>4.8380000000000001</v>
      </c>
      <c r="H46">
        <v>2</v>
      </c>
      <c r="I46">
        <v>0</v>
      </c>
      <c r="J46">
        <v>0</v>
      </c>
      <c r="K46">
        <v>4</v>
      </c>
      <c r="L46">
        <v>0</v>
      </c>
      <c r="M46">
        <f>IF(AND(A46&gt;=Seguridad!$H$5,A46&lt;=Seguridad!$J$5,OR(Seguridad!$B$5="Todas",C46=Seguridad!$B$5),OR(Seguridad!$E$5="Ambos",D46=Seguridad!$E$5),OR(Seguridad!$M$5="Todas",B46=Seguridad!$M$5)),1,0)</f>
        <v>1</v>
      </c>
    </row>
    <row r="47" spans="1:13">
      <c r="A47" s="5">
        <v>46283</v>
      </c>
      <c r="B47" t="s">
        <v>32</v>
      </c>
      <c r="C47" t="s">
        <v>8</v>
      </c>
      <c r="D47" t="s">
        <v>81</v>
      </c>
      <c r="E47">
        <v>64</v>
      </c>
      <c r="F47">
        <v>7.8</v>
      </c>
      <c r="G47">
        <v>4.29</v>
      </c>
      <c r="H47">
        <v>0</v>
      </c>
      <c r="I47">
        <v>1</v>
      </c>
      <c r="J47">
        <v>0</v>
      </c>
      <c r="K47">
        <v>5</v>
      </c>
      <c r="L47">
        <v>0</v>
      </c>
      <c r="M47">
        <f>IF(AND(A47&gt;=Seguridad!$H$5,A47&lt;=Seguridad!$J$5,OR(Seguridad!$B$5="Todas",C47=Seguridad!$B$5),OR(Seguridad!$E$5="Ambos",D47=Seguridad!$E$5),OR(Seguridad!$M$5="Todas",B47=Seguridad!$M$5)),1,0)</f>
        <v>1</v>
      </c>
    </row>
    <row r="48" spans="1:13">
      <c r="A48" s="5">
        <v>46283</v>
      </c>
      <c r="B48" t="s">
        <v>32</v>
      </c>
      <c r="C48" t="s">
        <v>8</v>
      </c>
      <c r="D48" t="s">
        <v>84</v>
      </c>
      <c r="E48">
        <v>63</v>
      </c>
      <c r="F48">
        <v>6.4</v>
      </c>
      <c r="G48">
        <v>4.2240000000000002</v>
      </c>
      <c r="H48">
        <v>2</v>
      </c>
      <c r="I48">
        <v>0</v>
      </c>
      <c r="J48">
        <v>0</v>
      </c>
      <c r="K48">
        <v>6</v>
      </c>
      <c r="L48">
        <v>0</v>
      </c>
      <c r="M48">
        <f>IF(AND(A48&gt;=Seguridad!$H$5,A48&lt;=Seguridad!$J$5,OR(Seguridad!$B$5="Todas",C48=Seguridad!$B$5),OR(Seguridad!$E$5="Ambos",D48=Seguridad!$E$5),OR(Seguridad!$M$5="Todas",B48=Seguridad!$M$5)),1,0)</f>
        <v>1</v>
      </c>
    </row>
    <row r="49" spans="1:13">
      <c r="A49" s="5">
        <v>46284</v>
      </c>
      <c r="B49" t="s">
        <v>32</v>
      </c>
      <c r="C49" t="s">
        <v>8</v>
      </c>
      <c r="D49" t="s">
        <v>81</v>
      </c>
      <c r="E49">
        <v>56</v>
      </c>
      <c r="F49">
        <v>6</v>
      </c>
      <c r="G49">
        <v>3.7199999999999998</v>
      </c>
      <c r="H49">
        <v>0</v>
      </c>
      <c r="I49">
        <v>0</v>
      </c>
      <c r="J49">
        <v>0</v>
      </c>
      <c r="K49">
        <v>2</v>
      </c>
      <c r="L49">
        <v>0</v>
      </c>
      <c r="M49">
        <f>IF(AND(A49&gt;=Seguridad!$H$5,A49&lt;=Seguridad!$J$5,OR(Seguridad!$B$5="Todas",C49=Seguridad!$B$5),OR(Seguridad!$E$5="Ambos",D49=Seguridad!$E$5),OR(Seguridad!$M$5="Todas",B49=Seguridad!$M$5)),1,0)</f>
        <v>1</v>
      </c>
    </row>
    <row r="50" spans="1:13">
      <c r="A50" s="5">
        <v>46284</v>
      </c>
      <c r="B50" t="s">
        <v>32</v>
      </c>
      <c r="C50" t="s">
        <v>8</v>
      </c>
      <c r="D50" t="s">
        <v>84</v>
      </c>
      <c r="E50">
        <v>56</v>
      </c>
      <c r="F50">
        <v>7.1</v>
      </c>
      <c r="G50">
        <v>3.7629999999999999</v>
      </c>
      <c r="H50">
        <v>2</v>
      </c>
      <c r="I50">
        <v>0</v>
      </c>
      <c r="J50">
        <v>0</v>
      </c>
      <c r="K50">
        <v>3</v>
      </c>
      <c r="L50">
        <v>1</v>
      </c>
      <c r="M50">
        <f>IF(AND(A50&gt;=Seguridad!$H$5,A50&lt;=Seguridad!$J$5,OR(Seguridad!$B$5="Todas",C50=Seguridad!$B$5),OR(Seguridad!$E$5="Ambos",D50=Seguridad!$E$5),OR(Seguridad!$M$5="Todas",B50=Seguridad!$M$5)),1,0)</f>
        <v>1</v>
      </c>
    </row>
    <row r="51" spans="1:13">
      <c r="A51" s="5">
        <v>46285</v>
      </c>
      <c r="B51" t="s">
        <v>32</v>
      </c>
      <c r="C51" t="s">
        <v>8</v>
      </c>
      <c r="D51" t="s">
        <v>81</v>
      </c>
      <c r="E51">
        <v>69</v>
      </c>
      <c r="F51">
        <v>6.7</v>
      </c>
      <c r="G51">
        <v>4.6230000000000002</v>
      </c>
      <c r="H51">
        <v>0</v>
      </c>
      <c r="I51">
        <v>0</v>
      </c>
      <c r="J51">
        <v>0</v>
      </c>
      <c r="K51">
        <v>4</v>
      </c>
      <c r="L51">
        <v>0</v>
      </c>
      <c r="M51">
        <f>IF(AND(A51&gt;=Seguridad!$H$5,A51&lt;=Seguridad!$J$5,OR(Seguridad!$B$5="Todas",C51=Seguridad!$B$5),OR(Seguridad!$E$5="Ambos",D51=Seguridad!$E$5),OR(Seguridad!$M$5="Todas",B51=Seguridad!$M$5)),1,0)</f>
        <v>1</v>
      </c>
    </row>
    <row r="52" spans="1:13">
      <c r="A52" s="5">
        <v>46285</v>
      </c>
      <c r="B52" t="s">
        <v>32</v>
      </c>
      <c r="C52" t="s">
        <v>8</v>
      </c>
      <c r="D52" t="s">
        <v>84</v>
      </c>
      <c r="E52">
        <v>70</v>
      </c>
      <c r="F52">
        <v>7.8</v>
      </c>
      <c r="G52">
        <v>4.68</v>
      </c>
      <c r="H52">
        <v>2</v>
      </c>
      <c r="I52">
        <v>0</v>
      </c>
      <c r="J52">
        <v>0</v>
      </c>
      <c r="K52">
        <v>5</v>
      </c>
      <c r="L52">
        <v>0</v>
      </c>
      <c r="M52">
        <f>IF(AND(A52&gt;=Seguridad!$H$5,A52&lt;=Seguridad!$J$5,OR(Seguridad!$B$5="Todas",C52=Seguridad!$B$5),OR(Seguridad!$E$5="Ambos",D52=Seguridad!$E$5),OR(Seguridad!$M$5="Todas",B52=Seguridad!$M$5)),1,0)</f>
        <v>1</v>
      </c>
    </row>
    <row r="53" spans="1:13">
      <c r="A53" s="5">
        <v>46286</v>
      </c>
      <c r="B53" t="s">
        <v>32</v>
      </c>
      <c r="C53" t="s">
        <v>8</v>
      </c>
      <c r="D53" t="s">
        <v>81</v>
      </c>
      <c r="E53">
        <v>62</v>
      </c>
      <c r="F53">
        <v>7.4</v>
      </c>
      <c r="G53">
        <v>4.144000000000001</v>
      </c>
      <c r="H53">
        <v>1</v>
      </c>
      <c r="I53">
        <v>0</v>
      </c>
      <c r="J53">
        <v>0</v>
      </c>
      <c r="K53">
        <v>6</v>
      </c>
      <c r="L53">
        <v>0</v>
      </c>
      <c r="M53">
        <f>IF(AND(A53&gt;=Seguridad!$H$5,A53&lt;=Seguridad!$J$5,OR(Seguridad!$B$5="Todas",C53=Seguridad!$B$5),OR(Seguridad!$E$5="Ambos",D53=Seguridad!$E$5),OR(Seguridad!$M$5="Todas",B53=Seguridad!$M$5)),1,0)</f>
        <v>1</v>
      </c>
    </row>
    <row r="54" spans="1:13">
      <c r="A54" s="5">
        <v>46286</v>
      </c>
      <c r="B54" t="s">
        <v>32</v>
      </c>
      <c r="C54" t="s">
        <v>8</v>
      </c>
      <c r="D54" t="s">
        <v>84</v>
      </c>
      <c r="E54">
        <v>60</v>
      </c>
      <c r="F54">
        <v>6</v>
      </c>
      <c r="G54">
        <v>4.0200000000000005</v>
      </c>
      <c r="H54">
        <v>2</v>
      </c>
      <c r="I54">
        <v>0</v>
      </c>
      <c r="J54">
        <v>0</v>
      </c>
      <c r="K54">
        <v>2</v>
      </c>
      <c r="L54">
        <v>0</v>
      </c>
      <c r="M54">
        <f>IF(AND(A54&gt;=Seguridad!$H$5,A54&lt;=Seguridad!$J$5,OR(Seguridad!$B$5="Todas",C54=Seguridad!$B$5),OR(Seguridad!$E$5="Ambos",D54=Seguridad!$E$5),OR(Seguridad!$M$5="Todas",B54=Seguridad!$M$5)),1,0)</f>
        <v>1</v>
      </c>
    </row>
    <row r="55" spans="1:13">
      <c r="A55" s="5">
        <v>46287</v>
      </c>
      <c r="B55" t="s">
        <v>32</v>
      </c>
      <c r="C55" t="s">
        <v>8</v>
      </c>
      <c r="D55" t="s">
        <v>81</v>
      </c>
      <c r="E55">
        <v>77</v>
      </c>
      <c r="F55">
        <v>8.1</v>
      </c>
      <c r="G55">
        <v>5.1029999999999998</v>
      </c>
      <c r="H55">
        <v>0</v>
      </c>
      <c r="I55">
        <v>0</v>
      </c>
      <c r="J55">
        <v>1</v>
      </c>
      <c r="K55">
        <v>3</v>
      </c>
      <c r="L55">
        <v>0</v>
      </c>
      <c r="M55">
        <f>IF(AND(A55&gt;=Seguridad!$H$5,A55&lt;=Seguridad!$J$5,OR(Seguridad!$B$5="Todas",C55=Seguridad!$B$5),OR(Seguridad!$E$5="Ambos",D55=Seguridad!$E$5),OR(Seguridad!$M$5="Todas",B55=Seguridad!$M$5)),1,0)</f>
        <v>1</v>
      </c>
    </row>
    <row r="56" spans="1:13">
      <c r="A56" s="5">
        <v>46287</v>
      </c>
      <c r="B56" t="s">
        <v>32</v>
      </c>
      <c r="C56" t="s">
        <v>8</v>
      </c>
      <c r="D56" t="s">
        <v>84</v>
      </c>
      <c r="E56">
        <v>54</v>
      </c>
      <c r="F56">
        <v>6.7</v>
      </c>
      <c r="G56">
        <v>3.6180000000000003</v>
      </c>
      <c r="H56">
        <v>2</v>
      </c>
      <c r="I56">
        <v>1</v>
      </c>
      <c r="J56">
        <v>0</v>
      </c>
      <c r="K56">
        <v>4</v>
      </c>
      <c r="L56">
        <v>0</v>
      </c>
      <c r="M56">
        <f>IF(AND(A56&gt;=Seguridad!$H$5,A56&lt;=Seguridad!$J$5,OR(Seguridad!$B$5="Todas",C56=Seguridad!$B$5),OR(Seguridad!$E$5="Ambos",D56=Seguridad!$E$5),OR(Seguridad!$M$5="Todas",B56=Seguridad!$M$5)),1,0)</f>
        <v>1</v>
      </c>
    </row>
    <row r="57" spans="1:13">
      <c r="A57" s="5">
        <v>46288</v>
      </c>
      <c r="B57" t="s">
        <v>32</v>
      </c>
      <c r="C57" t="s">
        <v>8</v>
      </c>
      <c r="D57" t="s">
        <v>81</v>
      </c>
      <c r="E57">
        <v>66</v>
      </c>
      <c r="F57">
        <v>6.3</v>
      </c>
      <c r="G57">
        <v>4.4099999999999993</v>
      </c>
      <c r="H57">
        <v>0</v>
      </c>
      <c r="I57">
        <v>0</v>
      </c>
      <c r="J57">
        <v>0</v>
      </c>
      <c r="K57">
        <v>5</v>
      </c>
      <c r="L57">
        <v>0</v>
      </c>
      <c r="M57">
        <f>IF(AND(A57&gt;=Seguridad!$H$5,A57&lt;=Seguridad!$J$5,OR(Seguridad!$B$5="Todas",C57=Seguridad!$B$5),OR(Seguridad!$E$5="Ambos",D57=Seguridad!$E$5),OR(Seguridad!$M$5="Todas",B57=Seguridad!$M$5)),1,0)</f>
        <v>1</v>
      </c>
    </row>
    <row r="58" spans="1:13">
      <c r="A58" s="5">
        <v>46288</v>
      </c>
      <c r="B58" t="s">
        <v>32</v>
      </c>
      <c r="C58" t="s">
        <v>8</v>
      </c>
      <c r="D58" t="s">
        <v>84</v>
      </c>
      <c r="E58">
        <v>68</v>
      </c>
      <c r="F58">
        <v>7.4</v>
      </c>
      <c r="G58">
        <v>4.5140000000000002</v>
      </c>
      <c r="H58">
        <v>2</v>
      </c>
      <c r="I58">
        <v>0</v>
      </c>
      <c r="J58">
        <v>0</v>
      </c>
      <c r="K58">
        <v>6</v>
      </c>
      <c r="L58">
        <v>0</v>
      </c>
      <c r="M58">
        <f>IF(AND(A58&gt;=Seguridad!$H$5,A58&lt;=Seguridad!$J$5,OR(Seguridad!$B$5="Todas",C58=Seguridad!$B$5),OR(Seguridad!$E$5="Ambos",D58=Seguridad!$E$5),OR(Seguridad!$M$5="Todas",B58=Seguridad!$M$5)),1,0)</f>
        <v>1</v>
      </c>
    </row>
    <row r="59" spans="1:13">
      <c r="A59" s="5">
        <v>46289</v>
      </c>
      <c r="B59" t="s">
        <v>32</v>
      </c>
      <c r="C59" t="s">
        <v>8</v>
      </c>
      <c r="D59" t="s">
        <v>81</v>
      </c>
      <c r="E59">
        <v>60</v>
      </c>
      <c r="F59">
        <v>7</v>
      </c>
      <c r="G59">
        <v>3.99</v>
      </c>
      <c r="H59">
        <v>0</v>
      </c>
      <c r="I59">
        <v>0</v>
      </c>
      <c r="J59">
        <v>0</v>
      </c>
      <c r="K59">
        <v>2</v>
      </c>
      <c r="L59">
        <v>0</v>
      </c>
      <c r="M59">
        <f>IF(AND(A59&gt;=Seguridad!$H$5,A59&lt;=Seguridad!$J$5,OR(Seguridad!$B$5="Todas",C59=Seguridad!$B$5),OR(Seguridad!$E$5="Ambos",D59=Seguridad!$E$5),OR(Seguridad!$M$5="Todas",B59=Seguridad!$M$5)),1,0)</f>
        <v>1</v>
      </c>
    </row>
    <row r="60" spans="1:13">
      <c r="A60" s="5">
        <v>46289</v>
      </c>
      <c r="B60" t="s">
        <v>32</v>
      </c>
      <c r="C60" t="s">
        <v>8</v>
      </c>
      <c r="D60" t="s">
        <v>84</v>
      </c>
      <c r="E60">
        <v>83</v>
      </c>
      <c r="F60">
        <v>8.1</v>
      </c>
      <c r="G60">
        <v>5.508</v>
      </c>
      <c r="H60">
        <v>2</v>
      </c>
      <c r="I60">
        <v>0</v>
      </c>
      <c r="J60">
        <v>0</v>
      </c>
      <c r="K60">
        <v>3</v>
      </c>
      <c r="L60">
        <v>0</v>
      </c>
      <c r="M60">
        <f>IF(AND(A60&gt;=Seguridad!$H$5,A60&lt;=Seguridad!$J$5,OR(Seguridad!$B$5="Todas",C60=Seguridad!$B$5),OR(Seguridad!$E$5="Ambos",D60=Seguridad!$E$5),OR(Seguridad!$M$5="Todas",B60=Seguridad!$M$5)),1,0)</f>
        <v>1</v>
      </c>
    </row>
    <row r="61" spans="1:13">
      <c r="A61" s="5">
        <v>46276</v>
      </c>
      <c r="B61" t="s">
        <v>33</v>
      </c>
      <c r="C61" t="s">
        <v>8</v>
      </c>
      <c r="D61" t="s">
        <v>81</v>
      </c>
      <c r="E61">
        <v>67</v>
      </c>
      <c r="F61">
        <v>7.1</v>
      </c>
      <c r="G61">
        <v>4.4729999999999999</v>
      </c>
      <c r="H61">
        <v>0</v>
      </c>
      <c r="I61">
        <v>0</v>
      </c>
      <c r="J61">
        <v>0</v>
      </c>
      <c r="K61">
        <v>3</v>
      </c>
      <c r="L61">
        <v>0</v>
      </c>
      <c r="M61">
        <f>IF(AND(A61&gt;=Seguridad!$H$5,A61&lt;=Seguridad!$J$5,OR(Seguridad!$B$5="Todas",C61=Seguridad!$B$5),OR(Seguridad!$E$5="Ambos",D61=Seguridad!$E$5),OR(Seguridad!$M$5="Todas",B61=Seguridad!$M$5)),1,0)</f>
        <v>1</v>
      </c>
    </row>
    <row r="62" spans="1:13">
      <c r="A62" s="5">
        <v>46276</v>
      </c>
      <c r="B62" t="s">
        <v>33</v>
      </c>
      <c r="C62" t="s">
        <v>8</v>
      </c>
      <c r="D62" t="s">
        <v>84</v>
      </c>
      <c r="E62">
        <v>66</v>
      </c>
      <c r="F62">
        <v>8.1999999999999993</v>
      </c>
      <c r="G62">
        <v>4.4279999999999999</v>
      </c>
      <c r="H62">
        <v>0</v>
      </c>
      <c r="I62">
        <v>0</v>
      </c>
      <c r="J62">
        <v>0</v>
      </c>
      <c r="K62">
        <v>4</v>
      </c>
      <c r="L62">
        <v>0</v>
      </c>
      <c r="M62">
        <f>IF(AND(A62&gt;=Seguridad!$H$5,A62&lt;=Seguridad!$J$5,OR(Seguridad!$B$5="Todas",C62=Seguridad!$B$5),OR(Seguridad!$E$5="Ambos",D62=Seguridad!$E$5),OR(Seguridad!$M$5="Todas",B62=Seguridad!$M$5)),1,0)</f>
        <v>1</v>
      </c>
    </row>
    <row r="63" spans="1:13">
      <c r="A63" s="5">
        <v>46277</v>
      </c>
      <c r="B63" t="s">
        <v>33</v>
      </c>
      <c r="C63" t="s">
        <v>8</v>
      </c>
      <c r="D63" t="s">
        <v>81</v>
      </c>
      <c r="E63">
        <v>82</v>
      </c>
      <c r="F63">
        <v>7.8</v>
      </c>
      <c r="G63">
        <v>5.46</v>
      </c>
      <c r="H63">
        <v>0</v>
      </c>
      <c r="I63">
        <v>0</v>
      </c>
      <c r="J63">
        <v>0</v>
      </c>
      <c r="K63">
        <v>5</v>
      </c>
      <c r="L63">
        <v>0</v>
      </c>
      <c r="M63">
        <f>IF(AND(A63&gt;=Seguridad!$H$5,A63&lt;=Seguridad!$J$5,OR(Seguridad!$B$5="Todas",C63=Seguridad!$B$5),OR(Seguridad!$E$5="Ambos",D63=Seguridad!$E$5),OR(Seguridad!$M$5="Todas",B63=Seguridad!$M$5)),1,0)</f>
        <v>1</v>
      </c>
    </row>
    <row r="64" spans="1:13">
      <c r="A64" s="5">
        <v>46277</v>
      </c>
      <c r="B64" t="s">
        <v>33</v>
      </c>
      <c r="C64" t="s">
        <v>8</v>
      </c>
      <c r="D64" t="s">
        <v>84</v>
      </c>
      <c r="E64">
        <v>59</v>
      </c>
      <c r="F64">
        <v>6.4</v>
      </c>
      <c r="G64">
        <v>3.9039999999999999</v>
      </c>
      <c r="H64">
        <v>0</v>
      </c>
      <c r="I64">
        <v>0</v>
      </c>
      <c r="J64">
        <v>0</v>
      </c>
      <c r="K64">
        <v>6</v>
      </c>
      <c r="L64">
        <v>0</v>
      </c>
      <c r="M64">
        <f>IF(AND(A64&gt;=Seguridad!$H$5,A64&lt;=Seguridad!$J$5,OR(Seguridad!$B$5="Todas",C64=Seguridad!$B$5),OR(Seguridad!$E$5="Ambos",D64=Seguridad!$E$5),OR(Seguridad!$M$5="Todas",B64=Seguridad!$M$5)),1,0)</f>
        <v>1</v>
      </c>
    </row>
    <row r="65" spans="1:13">
      <c r="A65" s="5">
        <v>46278</v>
      </c>
      <c r="B65" t="s">
        <v>33</v>
      </c>
      <c r="C65" t="s">
        <v>8</v>
      </c>
      <c r="D65" t="s">
        <v>81</v>
      </c>
      <c r="E65">
        <v>51</v>
      </c>
      <c r="F65">
        <v>6</v>
      </c>
      <c r="G65">
        <v>3.4200000000000004</v>
      </c>
      <c r="H65">
        <v>0</v>
      </c>
      <c r="I65">
        <v>0</v>
      </c>
      <c r="J65">
        <v>0</v>
      </c>
      <c r="K65">
        <v>2</v>
      </c>
      <c r="L65">
        <v>0</v>
      </c>
      <c r="M65">
        <f>IF(AND(A65&gt;=Seguridad!$H$5,A65&lt;=Seguridad!$J$5,OR(Seguridad!$B$5="Todas",C65=Seguridad!$B$5),OR(Seguridad!$E$5="Ambos",D65=Seguridad!$E$5),OR(Seguridad!$M$5="Todas",B65=Seguridad!$M$5)),1,0)</f>
        <v>1</v>
      </c>
    </row>
    <row r="66" spans="1:13">
      <c r="A66" s="5">
        <v>46278</v>
      </c>
      <c r="B66" t="s">
        <v>33</v>
      </c>
      <c r="C66" t="s">
        <v>8</v>
      </c>
      <c r="D66" t="s">
        <v>84</v>
      </c>
      <c r="E66">
        <v>72</v>
      </c>
      <c r="F66">
        <v>7.1</v>
      </c>
      <c r="G66">
        <v>4.8280000000000003</v>
      </c>
      <c r="H66">
        <v>1</v>
      </c>
      <c r="I66">
        <v>0</v>
      </c>
      <c r="J66">
        <v>0</v>
      </c>
      <c r="K66">
        <v>3</v>
      </c>
      <c r="L66">
        <v>0</v>
      </c>
      <c r="M66">
        <f>IF(AND(A66&gt;=Seguridad!$H$5,A66&lt;=Seguridad!$J$5,OR(Seguridad!$B$5="Todas",C66=Seguridad!$B$5),OR(Seguridad!$E$5="Ambos",D66=Seguridad!$E$5),OR(Seguridad!$M$5="Todas",B66=Seguridad!$M$5)),1,0)</f>
        <v>1</v>
      </c>
    </row>
    <row r="67" spans="1:13">
      <c r="A67" s="5">
        <v>46279</v>
      </c>
      <c r="B67" t="s">
        <v>33</v>
      </c>
      <c r="C67" t="s">
        <v>8</v>
      </c>
      <c r="D67" t="s">
        <v>81</v>
      </c>
      <c r="E67">
        <v>64</v>
      </c>
      <c r="F67">
        <v>6.7</v>
      </c>
      <c r="G67">
        <v>4.2880000000000003</v>
      </c>
      <c r="H67">
        <v>1</v>
      </c>
      <c r="I67">
        <v>0</v>
      </c>
      <c r="J67">
        <v>0</v>
      </c>
      <c r="K67">
        <v>4</v>
      </c>
      <c r="L67">
        <v>0</v>
      </c>
      <c r="M67">
        <f>IF(AND(A67&gt;=Seguridad!$H$5,A67&lt;=Seguridad!$J$5,OR(Seguridad!$B$5="Todas",C67=Seguridad!$B$5),OR(Seguridad!$E$5="Ambos",D67=Seguridad!$E$5),OR(Seguridad!$M$5="Todas",B67=Seguridad!$M$5)),1,0)</f>
        <v>1</v>
      </c>
    </row>
    <row r="68" spans="1:13">
      <c r="A68" s="5">
        <v>46279</v>
      </c>
      <c r="B68" t="s">
        <v>33</v>
      </c>
      <c r="C68" t="s">
        <v>8</v>
      </c>
      <c r="D68" t="s">
        <v>84</v>
      </c>
      <c r="E68">
        <v>64</v>
      </c>
      <c r="F68">
        <v>7.8</v>
      </c>
      <c r="G68">
        <v>4.29</v>
      </c>
      <c r="H68">
        <v>0</v>
      </c>
      <c r="I68">
        <v>1</v>
      </c>
      <c r="J68">
        <v>0</v>
      </c>
      <c r="K68">
        <v>5</v>
      </c>
      <c r="L68">
        <v>0</v>
      </c>
      <c r="M68">
        <f>IF(AND(A68&gt;=Seguridad!$H$5,A68&lt;=Seguridad!$J$5,OR(Seguridad!$B$5="Todas",C68=Seguridad!$B$5),OR(Seguridad!$E$5="Ambos",D68=Seguridad!$E$5),OR(Seguridad!$M$5="Todas",B68=Seguridad!$M$5)),1,0)</f>
        <v>1</v>
      </c>
    </row>
    <row r="69" spans="1:13">
      <c r="A69" s="5">
        <v>46280</v>
      </c>
      <c r="B69" t="s">
        <v>33</v>
      </c>
      <c r="C69" t="s">
        <v>8</v>
      </c>
      <c r="D69" t="s">
        <v>81</v>
      </c>
      <c r="E69">
        <v>79</v>
      </c>
      <c r="F69">
        <v>7.4</v>
      </c>
      <c r="G69">
        <v>5.2539999999999996</v>
      </c>
      <c r="H69">
        <v>0</v>
      </c>
      <c r="I69">
        <v>0</v>
      </c>
      <c r="J69">
        <v>0</v>
      </c>
      <c r="K69">
        <v>6</v>
      </c>
      <c r="L69">
        <v>0</v>
      </c>
      <c r="M69">
        <f>IF(AND(A69&gt;=Seguridad!$H$5,A69&lt;=Seguridad!$J$5,OR(Seguridad!$B$5="Todas",C69=Seguridad!$B$5),OR(Seguridad!$E$5="Ambos",D69=Seguridad!$E$5),OR(Seguridad!$M$5="Todas",B69=Seguridad!$M$5)),1,0)</f>
        <v>1</v>
      </c>
    </row>
    <row r="70" spans="1:13">
      <c r="A70" s="5">
        <v>46280</v>
      </c>
      <c r="B70" t="s">
        <v>33</v>
      </c>
      <c r="C70" t="s">
        <v>8</v>
      </c>
      <c r="D70" t="s">
        <v>84</v>
      </c>
      <c r="E70">
        <v>56</v>
      </c>
      <c r="F70">
        <v>6</v>
      </c>
      <c r="G70">
        <v>3.7199999999999998</v>
      </c>
      <c r="H70">
        <v>0</v>
      </c>
      <c r="I70">
        <v>0</v>
      </c>
      <c r="J70">
        <v>0</v>
      </c>
      <c r="K70">
        <v>2</v>
      </c>
      <c r="L70">
        <v>0</v>
      </c>
      <c r="M70">
        <f>IF(AND(A70&gt;=Seguridad!$H$5,A70&lt;=Seguridad!$J$5,OR(Seguridad!$B$5="Todas",C70=Seguridad!$B$5),OR(Seguridad!$E$5="Ambos",D70=Seguridad!$E$5),OR(Seguridad!$M$5="Todas",B70=Seguridad!$M$5)),1,0)</f>
        <v>1</v>
      </c>
    </row>
    <row r="71" spans="1:13">
      <c r="A71" s="5">
        <v>46281</v>
      </c>
      <c r="B71" t="s">
        <v>33</v>
      </c>
      <c r="C71" t="s">
        <v>8</v>
      </c>
      <c r="D71" t="s">
        <v>81</v>
      </c>
      <c r="E71">
        <v>70</v>
      </c>
      <c r="F71">
        <v>8.1</v>
      </c>
      <c r="G71">
        <v>4.6980000000000004</v>
      </c>
      <c r="H71">
        <v>0</v>
      </c>
      <c r="I71">
        <v>0</v>
      </c>
      <c r="J71">
        <v>0</v>
      </c>
      <c r="K71">
        <v>3</v>
      </c>
      <c r="L71">
        <v>0</v>
      </c>
      <c r="M71">
        <f>IF(AND(A71&gt;=Seguridad!$H$5,A71&lt;=Seguridad!$J$5,OR(Seguridad!$B$5="Todas",C71=Seguridad!$B$5),OR(Seguridad!$E$5="Ambos",D71=Seguridad!$E$5),OR(Seguridad!$M$5="Todas",B71=Seguridad!$M$5)),1,0)</f>
        <v>1</v>
      </c>
    </row>
    <row r="72" spans="1:13">
      <c r="A72" s="5">
        <v>46281</v>
      </c>
      <c r="B72" t="s">
        <v>33</v>
      </c>
      <c r="C72" t="s">
        <v>8</v>
      </c>
      <c r="D72" t="s">
        <v>84</v>
      </c>
      <c r="E72">
        <v>69</v>
      </c>
      <c r="F72">
        <v>6.7</v>
      </c>
      <c r="G72">
        <v>4.6230000000000002</v>
      </c>
      <c r="H72">
        <v>0</v>
      </c>
      <c r="I72">
        <v>0</v>
      </c>
      <c r="J72">
        <v>0</v>
      </c>
      <c r="K72">
        <v>4</v>
      </c>
      <c r="L72">
        <v>0</v>
      </c>
      <c r="M72">
        <f>IF(AND(A72&gt;=Seguridad!$H$5,A72&lt;=Seguridad!$J$5,OR(Seguridad!$B$5="Todas",C72=Seguridad!$B$5),OR(Seguridad!$E$5="Ambos",D72=Seguridad!$E$5),OR(Seguridad!$M$5="Todas",B72=Seguridad!$M$5)),1,0)</f>
        <v>1</v>
      </c>
    </row>
    <row r="73" spans="1:13">
      <c r="A73" s="5">
        <v>46282</v>
      </c>
      <c r="B73" t="s">
        <v>33</v>
      </c>
      <c r="C73" t="s">
        <v>8</v>
      </c>
      <c r="D73" t="s">
        <v>81</v>
      </c>
      <c r="E73">
        <v>61</v>
      </c>
      <c r="F73">
        <v>6.3</v>
      </c>
      <c r="G73">
        <v>4.0949999999999998</v>
      </c>
      <c r="H73">
        <v>0</v>
      </c>
      <c r="I73">
        <v>0</v>
      </c>
      <c r="J73">
        <v>0</v>
      </c>
      <c r="K73">
        <v>5</v>
      </c>
      <c r="L73">
        <v>0</v>
      </c>
      <c r="M73">
        <f>IF(AND(A73&gt;=Seguridad!$H$5,A73&lt;=Seguridad!$J$5,OR(Seguridad!$B$5="Todas",C73=Seguridad!$B$5),OR(Seguridad!$E$5="Ambos",D73=Seguridad!$E$5),OR(Seguridad!$M$5="Todas",B73=Seguridad!$M$5)),1,0)</f>
        <v>1</v>
      </c>
    </row>
    <row r="74" spans="1:13">
      <c r="A74" s="5">
        <v>46282</v>
      </c>
      <c r="B74" t="s">
        <v>33</v>
      </c>
      <c r="C74" t="s">
        <v>8</v>
      </c>
      <c r="D74" t="s">
        <v>84</v>
      </c>
      <c r="E74">
        <v>62</v>
      </c>
      <c r="F74">
        <v>7.4</v>
      </c>
      <c r="G74">
        <v>4.144000000000001</v>
      </c>
      <c r="H74">
        <v>1</v>
      </c>
      <c r="I74">
        <v>0</v>
      </c>
      <c r="J74">
        <v>0</v>
      </c>
      <c r="K74">
        <v>6</v>
      </c>
      <c r="L74">
        <v>0</v>
      </c>
      <c r="M74">
        <f>IF(AND(A74&gt;=Seguridad!$H$5,A74&lt;=Seguridad!$J$5,OR(Seguridad!$B$5="Todas",C74=Seguridad!$B$5),OR(Seguridad!$E$5="Ambos",D74=Seguridad!$E$5),OR(Seguridad!$M$5="Todas",B74=Seguridad!$M$5)),1,0)</f>
        <v>1</v>
      </c>
    </row>
    <row r="75" spans="1:13">
      <c r="A75" s="5">
        <v>46283</v>
      </c>
      <c r="B75" t="s">
        <v>33</v>
      </c>
      <c r="C75" t="s">
        <v>8</v>
      </c>
      <c r="D75" t="s">
        <v>81</v>
      </c>
      <c r="E75">
        <v>55</v>
      </c>
      <c r="F75">
        <v>7</v>
      </c>
      <c r="G75">
        <v>3.64</v>
      </c>
      <c r="H75">
        <v>1</v>
      </c>
      <c r="I75">
        <v>0</v>
      </c>
      <c r="J75">
        <v>0</v>
      </c>
      <c r="K75">
        <v>2</v>
      </c>
      <c r="L75">
        <v>0</v>
      </c>
      <c r="M75">
        <f>IF(AND(A75&gt;=Seguridad!$H$5,A75&lt;=Seguridad!$J$5,OR(Seguridad!$B$5="Todas",C75=Seguridad!$B$5),OR(Seguridad!$E$5="Ambos",D75=Seguridad!$E$5),OR(Seguridad!$M$5="Todas",B75=Seguridad!$M$5)),1,0)</f>
        <v>1</v>
      </c>
    </row>
    <row r="76" spans="1:13">
      <c r="A76" s="5">
        <v>46283</v>
      </c>
      <c r="B76" t="s">
        <v>33</v>
      </c>
      <c r="C76" t="s">
        <v>8</v>
      </c>
      <c r="D76" t="s">
        <v>84</v>
      </c>
      <c r="E76">
        <v>77</v>
      </c>
      <c r="F76">
        <v>8.1</v>
      </c>
      <c r="G76">
        <v>5.1029999999999998</v>
      </c>
      <c r="H76">
        <v>0</v>
      </c>
      <c r="I76">
        <v>0</v>
      </c>
      <c r="J76">
        <v>1</v>
      </c>
      <c r="K76">
        <v>3</v>
      </c>
      <c r="L76">
        <v>0</v>
      </c>
      <c r="M76">
        <f>IF(AND(A76&gt;=Seguridad!$H$5,A76&lt;=Seguridad!$J$5,OR(Seguridad!$B$5="Todas",C76=Seguridad!$B$5),OR(Seguridad!$E$5="Ambos",D76=Seguridad!$E$5),OR(Seguridad!$M$5="Todas",B76=Seguridad!$M$5)),1,0)</f>
        <v>1</v>
      </c>
    </row>
    <row r="77" spans="1:13">
      <c r="A77" s="5">
        <v>46284</v>
      </c>
      <c r="B77" t="s">
        <v>33</v>
      </c>
      <c r="C77" t="s">
        <v>8</v>
      </c>
      <c r="D77" t="s">
        <v>81</v>
      </c>
      <c r="E77">
        <v>68</v>
      </c>
      <c r="F77">
        <v>7.7</v>
      </c>
      <c r="G77">
        <v>4.543000000000001</v>
      </c>
      <c r="H77">
        <v>0</v>
      </c>
      <c r="I77">
        <v>0</v>
      </c>
      <c r="J77">
        <v>0</v>
      </c>
      <c r="K77">
        <v>4</v>
      </c>
      <c r="L77">
        <v>0</v>
      </c>
      <c r="M77">
        <f>IF(AND(A77&gt;=Seguridad!$H$5,A77&lt;=Seguridad!$J$5,OR(Seguridad!$B$5="Todas",C77=Seguridad!$B$5),OR(Seguridad!$E$5="Ambos",D77=Seguridad!$E$5),OR(Seguridad!$M$5="Todas",B77=Seguridad!$M$5)),1,0)</f>
        <v>1</v>
      </c>
    </row>
    <row r="78" spans="1:13">
      <c r="A78" s="5">
        <v>46284</v>
      </c>
      <c r="B78" t="s">
        <v>33</v>
      </c>
      <c r="C78" t="s">
        <v>8</v>
      </c>
      <c r="D78" t="s">
        <v>84</v>
      </c>
      <c r="E78">
        <v>66</v>
      </c>
      <c r="F78">
        <v>6.3</v>
      </c>
      <c r="G78">
        <v>4.4099999999999993</v>
      </c>
      <c r="H78">
        <v>0</v>
      </c>
      <c r="I78">
        <v>0</v>
      </c>
      <c r="J78">
        <v>0</v>
      </c>
      <c r="K78">
        <v>5</v>
      </c>
      <c r="L78">
        <v>0</v>
      </c>
      <c r="M78">
        <f>IF(AND(A78&gt;=Seguridad!$H$5,A78&lt;=Seguridad!$J$5,OR(Seguridad!$B$5="Todas",C78=Seguridad!$B$5),OR(Seguridad!$E$5="Ambos",D78=Seguridad!$E$5),OR(Seguridad!$M$5="Todas",B78=Seguridad!$M$5)),1,0)</f>
        <v>1</v>
      </c>
    </row>
    <row r="79" spans="1:13">
      <c r="A79" s="5">
        <v>46285</v>
      </c>
      <c r="B79" t="s">
        <v>33</v>
      </c>
      <c r="C79" t="s">
        <v>8</v>
      </c>
      <c r="D79" t="s">
        <v>81</v>
      </c>
      <c r="E79">
        <v>83</v>
      </c>
      <c r="F79">
        <v>8.4</v>
      </c>
      <c r="G79">
        <v>5.5440000000000005</v>
      </c>
      <c r="H79">
        <v>0</v>
      </c>
      <c r="I79">
        <v>0</v>
      </c>
      <c r="J79">
        <v>0</v>
      </c>
      <c r="K79">
        <v>6</v>
      </c>
      <c r="L79">
        <v>0</v>
      </c>
      <c r="M79">
        <f>IF(AND(A79&gt;=Seguridad!$H$5,A79&lt;=Seguridad!$J$5,OR(Seguridad!$B$5="Todas",C79=Seguridad!$B$5),OR(Seguridad!$E$5="Ambos",D79=Seguridad!$E$5),OR(Seguridad!$M$5="Todas",B79=Seguridad!$M$5)),1,0)</f>
        <v>1</v>
      </c>
    </row>
    <row r="80" spans="1:13">
      <c r="A80" s="5">
        <v>46285</v>
      </c>
      <c r="B80" t="s">
        <v>33</v>
      </c>
      <c r="C80" t="s">
        <v>8</v>
      </c>
      <c r="D80" t="s">
        <v>84</v>
      </c>
      <c r="E80">
        <v>60</v>
      </c>
      <c r="F80">
        <v>7</v>
      </c>
      <c r="G80">
        <v>3.99</v>
      </c>
      <c r="H80">
        <v>0</v>
      </c>
      <c r="I80">
        <v>0</v>
      </c>
      <c r="J80">
        <v>0</v>
      </c>
      <c r="K80">
        <v>2</v>
      </c>
      <c r="L80">
        <v>0</v>
      </c>
      <c r="M80">
        <f>IF(AND(A80&gt;=Seguridad!$H$5,A80&lt;=Seguridad!$J$5,OR(Seguridad!$B$5="Todas",C80=Seguridad!$B$5),OR(Seguridad!$E$5="Ambos",D80=Seguridad!$E$5),OR(Seguridad!$M$5="Todas",B80=Seguridad!$M$5)),1,0)</f>
        <v>1</v>
      </c>
    </row>
    <row r="81" spans="1:13">
      <c r="A81" s="5">
        <v>46286</v>
      </c>
      <c r="B81" t="s">
        <v>33</v>
      </c>
      <c r="C81" t="s">
        <v>8</v>
      </c>
      <c r="D81" t="s">
        <v>81</v>
      </c>
      <c r="E81">
        <v>52</v>
      </c>
      <c r="F81">
        <v>6.6</v>
      </c>
      <c r="G81">
        <v>3.4979999999999998</v>
      </c>
      <c r="H81">
        <v>0</v>
      </c>
      <c r="I81">
        <v>0</v>
      </c>
      <c r="J81">
        <v>0</v>
      </c>
      <c r="K81">
        <v>3</v>
      </c>
      <c r="L81">
        <v>0</v>
      </c>
      <c r="M81">
        <f>IF(AND(A81&gt;=Seguridad!$H$5,A81&lt;=Seguridad!$J$5,OR(Seguridad!$B$5="Todas",C81=Seguridad!$B$5),OR(Seguridad!$E$5="Ambos",D81=Seguridad!$E$5),OR(Seguridad!$M$5="Todas",B81=Seguridad!$M$5)),1,0)</f>
        <v>1</v>
      </c>
    </row>
    <row r="82" spans="1:13">
      <c r="A82" s="5">
        <v>46286</v>
      </c>
      <c r="B82" t="s">
        <v>33</v>
      </c>
      <c r="C82" t="s">
        <v>8</v>
      </c>
      <c r="D82" t="s">
        <v>84</v>
      </c>
      <c r="E82">
        <v>74</v>
      </c>
      <c r="F82">
        <v>7.7</v>
      </c>
      <c r="G82">
        <v>4.9279999999999999</v>
      </c>
      <c r="H82">
        <v>1</v>
      </c>
      <c r="I82">
        <v>0</v>
      </c>
      <c r="J82">
        <v>0</v>
      </c>
      <c r="K82">
        <v>4</v>
      </c>
      <c r="L82">
        <v>0</v>
      </c>
      <c r="M82">
        <f>IF(AND(A82&gt;=Seguridad!$H$5,A82&lt;=Seguridad!$J$5,OR(Seguridad!$B$5="Todas",C82=Seguridad!$B$5),OR(Seguridad!$E$5="Ambos",D82=Seguridad!$E$5),OR(Seguridad!$M$5="Todas",B82=Seguridad!$M$5)),1,0)</f>
        <v>1</v>
      </c>
    </row>
    <row r="83" spans="1:13">
      <c r="A83" s="5">
        <v>46287</v>
      </c>
      <c r="B83" t="s">
        <v>33</v>
      </c>
      <c r="C83" t="s">
        <v>8</v>
      </c>
      <c r="D83" t="s">
        <v>81</v>
      </c>
      <c r="E83">
        <v>66</v>
      </c>
      <c r="F83">
        <v>7.3</v>
      </c>
      <c r="G83">
        <v>4.38</v>
      </c>
      <c r="H83">
        <v>1</v>
      </c>
      <c r="I83">
        <v>0</v>
      </c>
      <c r="J83">
        <v>0</v>
      </c>
      <c r="K83">
        <v>5</v>
      </c>
      <c r="L83">
        <v>0</v>
      </c>
      <c r="M83">
        <f>IF(AND(A83&gt;=Seguridad!$H$5,A83&lt;=Seguridad!$J$5,OR(Seguridad!$B$5="Todas",C83=Seguridad!$B$5),OR(Seguridad!$E$5="Ambos",D83=Seguridad!$E$5),OR(Seguridad!$M$5="Todas",B83=Seguridad!$M$5)),1,0)</f>
        <v>1</v>
      </c>
    </row>
    <row r="84" spans="1:13">
      <c r="A84" s="5">
        <v>46287</v>
      </c>
      <c r="B84" t="s">
        <v>33</v>
      </c>
      <c r="C84" t="s">
        <v>8</v>
      </c>
      <c r="D84" t="s">
        <v>84</v>
      </c>
      <c r="E84">
        <v>89</v>
      </c>
      <c r="F84">
        <v>8.4</v>
      </c>
      <c r="G84">
        <v>5.9639999999999995</v>
      </c>
      <c r="H84">
        <v>0</v>
      </c>
      <c r="I84">
        <v>0</v>
      </c>
      <c r="J84">
        <v>0</v>
      </c>
      <c r="K84">
        <v>6</v>
      </c>
      <c r="L84">
        <v>0</v>
      </c>
      <c r="M84">
        <f>IF(AND(A84&gt;=Seguridad!$H$5,A84&lt;=Seguridad!$J$5,OR(Seguridad!$B$5="Todas",C84=Seguridad!$B$5),OR(Seguridad!$E$5="Ambos",D84=Seguridad!$E$5),OR(Seguridad!$M$5="Todas",B84=Seguridad!$M$5)),1,0)</f>
        <v>1</v>
      </c>
    </row>
    <row r="85" spans="1:13">
      <c r="A85" s="5">
        <v>46288</v>
      </c>
      <c r="B85" t="s">
        <v>33</v>
      </c>
      <c r="C85" t="s">
        <v>8</v>
      </c>
      <c r="D85" t="s">
        <v>81</v>
      </c>
      <c r="E85">
        <v>80</v>
      </c>
      <c r="F85">
        <v>8</v>
      </c>
      <c r="G85">
        <v>5.36</v>
      </c>
      <c r="H85">
        <v>0</v>
      </c>
      <c r="I85">
        <v>1</v>
      </c>
      <c r="J85">
        <v>0</v>
      </c>
      <c r="K85">
        <v>2</v>
      </c>
      <c r="L85">
        <v>0</v>
      </c>
      <c r="M85">
        <f>IF(AND(A85&gt;=Seguridad!$H$5,A85&lt;=Seguridad!$J$5,OR(Seguridad!$B$5="Todas",C85=Seguridad!$B$5),OR(Seguridad!$E$5="Ambos",D85=Seguridad!$E$5),OR(Seguridad!$M$5="Todas",B85=Seguridad!$M$5)),1,0)</f>
        <v>1</v>
      </c>
    </row>
    <row r="86" spans="1:13">
      <c r="A86" s="5">
        <v>46288</v>
      </c>
      <c r="B86" t="s">
        <v>33</v>
      </c>
      <c r="C86" t="s">
        <v>8</v>
      </c>
      <c r="D86" t="s">
        <v>84</v>
      </c>
      <c r="E86">
        <v>57</v>
      </c>
      <c r="F86">
        <v>6.6</v>
      </c>
      <c r="G86">
        <v>3.8280000000000003</v>
      </c>
      <c r="H86">
        <v>0</v>
      </c>
      <c r="I86">
        <v>0</v>
      </c>
      <c r="J86">
        <v>0</v>
      </c>
      <c r="K86">
        <v>3</v>
      </c>
      <c r="L86">
        <v>0</v>
      </c>
      <c r="M86">
        <f>IF(AND(A86&gt;=Seguridad!$H$5,A86&lt;=Seguridad!$J$5,OR(Seguridad!$B$5="Todas",C86=Seguridad!$B$5),OR(Seguridad!$E$5="Ambos",D86=Seguridad!$E$5),OR(Seguridad!$M$5="Todas",B86=Seguridad!$M$5)),1,0)</f>
        <v>1</v>
      </c>
    </row>
    <row r="87" spans="1:13">
      <c r="A87" s="5">
        <v>46289</v>
      </c>
      <c r="B87" t="s">
        <v>33</v>
      </c>
      <c r="C87" t="s">
        <v>8</v>
      </c>
      <c r="D87" t="s">
        <v>81</v>
      </c>
      <c r="E87">
        <v>50</v>
      </c>
      <c r="F87">
        <v>6.2</v>
      </c>
      <c r="G87">
        <v>3.3480000000000003</v>
      </c>
      <c r="H87">
        <v>0</v>
      </c>
      <c r="I87">
        <v>0</v>
      </c>
      <c r="J87">
        <v>0</v>
      </c>
      <c r="K87">
        <v>4</v>
      </c>
      <c r="L87">
        <v>0</v>
      </c>
      <c r="M87">
        <f>IF(AND(A87&gt;=Seguridad!$H$5,A87&lt;=Seguridad!$J$5,OR(Seguridad!$B$5="Todas",C87=Seguridad!$B$5),OR(Seguridad!$E$5="Ambos",D87=Seguridad!$E$5),OR(Seguridad!$M$5="Todas",B87=Seguridad!$M$5)),1,0)</f>
        <v>1</v>
      </c>
    </row>
    <row r="88" spans="1:13">
      <c r="A88" s="5">
        <v>46289</v>
      </c>
      <c r="B88" t="s">
        <v>33</v>
      </c>
      <c r="C88" t="s">
        <v>8</v>
      </c>
      <c r="D88" t="s">
        <v>84</v>
      </c>
      <c r="E88">
        <v>71</v>
      </c>
      <c r="F88">
        <v>7.3</v>
      </c>
      <c r="G88">
        <v>4.7450000000000001</v>
      </c>
      <c r="H88">
        <v>0</v>
      </c>
      <c r="I88">
        <v>0</v>
      </c>
      <c r="J88">
        <v>0</v>
      </c>
      <c r="K88">
        <v>5</v>
      </c>
      <c r="L88">
        <v>0</v>
      </c>
      <c r="M88">
        <f>IF(AND(A88&gt;=Seguridad!$H$5,A88&lt;=Seguridad!$J$5,OR(Seguridad!$B$5="Todas",C88=Seguridad!$B$5),OR(Seguridad!$E$5="Ambos",D88=Seguridad!$E$5),OR(Seguridad!$M$5="Todas",B88=Seguridad!$M$5)),1,0)</f>
        <v>1</v>
      </c>
    </row>
    <row r="89" spans="1:13">
      <c r="A89" s="5">
        <v>46276</v>
      </c>
      <c r="B89" t="s">
        <v>34</v>
      </c>
      <c r="C89" t="s">
        <v>8</v>
      </c>
      <c r="D89" t="s">
        <v>81</v>
      </c>
      <c r="E89">
        <v>57</v>
      </c>
      <c r="F89">
        <v>6.3</v>
      </c>
      <c r="G89">
        <v>3.78</v>
      </c>
      <c r="H89">
        <v>1</v>
      </c>
      <c r="I89">
        <v>0</v>
      </c>
      <c r="J89">
        <v>0</v>
      </c>
      <c r="K89">
        <v>5</v>
      </c>
      <c r="L89">
        <v>0</v>
      </c>
      <c r="M89">
        <f>IF(AND(A89&gt;=Seguridad!$H$5,A89&lt;=Seguridad!$J$5,OR(Seguridad!$B$5="Todas",C89=Seguridad!$B$5),OR(Seguridad!$E$5="Ambos",D89=Seguridad!$E$5),OR(Seguridad!$M$5="Todas",B89=Seguridad!$M$5)),1,0)</f>
        <v>1</v>
      </c>
    </row>
    <row r="90" spans="1:13">
      <c r="A90" s="5">
        <v>46276</v>
      </c>
      <c r="B90" t="s">
        <v>34</v>
      </c>
      <c r="C90" t="s">
        <v>8</v>
      </c>
      <c r="D90" t="s">
        <v>84</v>
      </c>
      <c r="E90">
        <v>79</v>
      </c>
      <c r="F90">
        <v>7.4</v>
      </c>
      <c r="G90">
        <v>5.2539999999999996</v>
      </c>
      <c r="H90">
        <v>0</v>
      </c>
      <c r="I90">
        <v>0</v>
      </c>
      <c r="J90">
        <v>0</v>
      </c>
      <c r="K90">
        <v>6</v>
      </c>
      <c r="L90">
        <v>0</v>
      </c>
      <c r="M90">
        <f>IF(AND(A90&gt;=Seguridad!$H$5,A90&lt;=Seguridad!$J$5,OR(Seguridad!$B$5="Todas",C90=Seguridad!$B$5),OR(Seguridad!$E$5="Ambos",D90=Seguridad!$E$5),OR(Seguridad!$M$5="Todas",B90=Seguridad!$M$5)),1,0)</f>
        <v>1</v>
      </c>
    </row>
    <row r="91" spans="1:13">
      <c r="A91" s="5">
        <v>46277</v>
      </c>
      <c r="B91" t="s">
        <v>34</v>
      </c>
      <c r="C91" t="s">
        <v>8</v>
      </c>
      <c r="D91" t="s">
        <v>81</v>
      </c>
      <c r="E91">
        <v>70</v>
      </c>
      <c r="F91">
        <v>7</v>
      </c>
      <c r="G91">
        <v>4.6900000000000004</v>
      </c>
      <c r="H91">
        <v>0</v>
      </c>
      <c r="I91">
        <v>0</v>
      </c>
      <c r="J91">
        <v>0</v>
      </c>
      <c r="K91">
        <v>2</v>
      </c>
      <c r="L91">
        <v>0</v>
      </c>
      <c r="M91">
        <f>IF(AND(A91&gt;=Seguridad!$H$5,A91&lt;=Seguridad!$J$5,OR(Seguridad!$B$5="Todas",C91=Seguridad!$B$5),OR(Seguridad!$E$5="Ambos",D91=Seguridad!$E$5),OR(Seguridad!$M$5="Todas",B91=Seguridad!$M$5)),1,0)</f>
        <v>1</v>
      </c>
    </row>
    <row r="92" spans="1:13">
      <c r="A92" s="5">
        <v>46277</v>
      </c>
      <c r="B92" t="s">
        <v>34</v>
      </c>
      <c r="C92" t="s">
        <v>8</v>
      </c>
      <c r="D92" t="s">
        <v>84</v>
      </c>
      <c r="E92">
        <v>70</v>
      </c>
      <c r="F92">
        <v>8.1</v>
      </c>
      <c r="G92">
        <v>4.6980000000000004</v>
      </c>
      <c r="H92">
        <v>0</v>
      </c>
      <c r="I92">
        <v>0</v>
      </c>
      <c r="J92">
        <v>0</v>
      </c>
      <c r="K92">
        <v>3</v>
      </c>
      <c r="L92">
        <v>0</v>
      </c>
      <c r="M92">
        <f>IF(AND(A92&gt;=Seguridad!$H$5,A92&lt;=Seguridad!$J$5,OR(Seguridad!$B$5="Todas",C92=Seguridad!$B$5),OR(Seguridad!$E$5="Ambos",D92=Seguridad!$E$5),OR(Seguridad!$M$5="Todas",B92=Seguridad!$M$5)),1,0)</f>
        <v>1</v>
      </c>
    </row>
    <row r="93" spans="1:13">
      <c r="A93" s="5">
        <v>46278</v>
      </c>
      <c r="B93" t="s">
        <v>34</v>
      </c>
      <c r="C93" t="s">
        <v>8</v>
      </c>
      <c r="D93" t="s">
        <v>81</v>
      </c>
      <c r="E93">
        <v>62</v>
      </c>
      <c r="F93">
        <v>7.7</v>
      </c>
      <c r="G93">
        <v>4.1580000000000004</v>
      </c>
      <c r="H93">
        <v>0</v>
      </c>
      <c r="I93">
        <v>0</v>
      </c>
      <c r="J93">
        <v>0</v>
      </c>
      <c r="K93">
        <v>4</v>
      </c>
      <c r="L93">
        <v>0</v>
      </c>
      <c r="M93">
        <f>IF(AND(A93&gt;=Seguridad!$H$5,A93&lt;=Seguridad!$J$5,OR(Seguridad!$B$5="Todas",C93=Seguridad!$B$5),OR(Seguridad!$E$5="Ambos",D93=Seguridad!$E$5),OR(Seguridad!$M$5="Todas",B93=Seguridad!$M$5)),1,0)</f>
        <v>1</v>
      </c>
    </row>
    <row r="94" spans="1:13">
      <c r="A94" s="5">
        <v>46278</v>
      </c>
      <c r="B94" t="s">
        <v>34</v>
      </c>
      <c r="C94" t="s">
        <v>8</v>
      </c>
      <c r="D94" t="s">
        <v>84</v>
      </c>
      <c r="E94">
        <v>61</v>
      </c>
      <c r="F94">
        <v>6.3</v>
      </c>
      <c r="G94">
        <v>4.0949999999999998</v>
      </c>
      <c r="H94">
        <v>0</v>
      </c>
      <c r="I94">
        <v>0</v>
      </c>
      <c r="J94">
        <v>0</v>
      </c>
      <c r="K94">
        <v>5</v>
      </c>
      <c r="L94">
        <v>0</v>
      </c>
      <c r="M94">
        <f>IF(AND(A94&gt;=Seguridad!$H$5,A94&lt;=Seguridad!$J$5,OR(Seguridad!$B$5="Todas",C94=Seguridad!$B$5),OR(Seguridad!$E$5="Ambos",D94=Seguridad!$E$5),OR(Seguridad!$M$5="Todas",B94=Seguridad!$M$5)),1,0)</f>
        <v>1</v>
      </c>
    </row>
    <row r="95" spans="1:13">
      <c r="A95" s="5">
        <v>46279</v>
      </c>
      <c r="B95" t="s">
        <v>34</v>
      </c>
      <c r="C95" t="s">
        <v>8</v>
      </c>
      <c r="D95" t="s">
        <v>81</v>
      </c>
      <c r="E95">
        <v>77</v>
      </c>
      <c r="F95">
        <v>8.4</v>
      </c>
      <c r="G95">
        <v>5.1239999999999997</v>
      </c>
      <c r="H95">
        <v>0</v>
      </c>
      <c r="I95">
        <v>0</v>
      </c>
      <c r="J95">
        <v>0</v>
      </c>
      <c r="K95">
        <v>6</v>
      </c>
      <c r="L95">
        <v>0</v>
      </c>
      <c r="M95">
        <f>IF(AND(A95&gt;=Seguridad!$H$5,A95&lt;=Seguridad!$J$5,OR(Seguridad!$B$5="Todas",C95=Seguridad!$B$5),OR(Seguridad!$E$5="Ambos",D95=Seguridad!$E$5),OR(Seguridad!$M$5="Todas",B95=Seguridad!$M$5)),1,0)</f>
        <v>1</v>
      </c>
    </row>
    <row r="96" spans="1:13">
      <c r="A96" s="5">
        <v>46279</v>
      </c>
      <c r="B96" t="s">
        <v>34</v>
      </c>
      <c r="C96" t="s">
        <v>8</v>
      </c>
      <c r="D96" t="s">
        <v>84</v>
      </c>
      <c r="E96">
        <v>55</v>
      </c>
      <c r="F96">
        <v>7</v>
      </c>
      <c r="G96">
        <v>3.64</v>
      </c>
      <c r="H96">
        <v>1</v>
      </c>
      <c r="I96">
        <v>0</v>
      </c>
      <c r="J96">
        <v>0</v>
      </c>
      <c r="K96">
        <v>2</v>
      </c>
      <c r="L96">
        <v>0</v>
      </c>
      <c r="M96">
        <f>IF(AND(A96&gt;=Seguridad!$H$5,A96&lt;=Seguridad!$J$5,OR(Seguridad!$B$5="Todas",C96=Seguridad!$B$5),OR(Seguridad!$E$5="Ambos",D96=Seguridad!$E$5),OR(Seguridad!$M$5="Todas",B96=Seguridad!$M$5)),1,0)</f>
        <v>1</v>
      </c>
    </row>
    <row r="97" spans="1:13">
      <c r="A97" s="5">
        <v>46280</v>
      </c>
      <c r="B97" t="s">
        <v>34</v>
      </c>
      <c r="C97" t="s">
        <v>8</v>
      </c>
      <c r="D97" t="s">
        <v>81</v>
      </c>
      <c r="E97">
        <v>67</v>
      </c>
      <c r="F97">
        <v>6.6</v>
      </c>
      <c r="G97">
        <v>4.4880000000000004</v>
      </c>
      <c r="H97">
        <v>1</v>
      </c>
      <c r="I97">
        <v>1</v>
      </c>
      <c r="J97">
        <v>0</v>
      </c>
      <c r="K97">
        <v>3</v>
      </c>
      <c r="L97">
        <v>0</v>
      </c>
      <c r="M97">
        <f>IF(AND(A97&gt;=Seguridad!$H$5,A97&lt;=Seguridad!$J$5,OR(Seguridad!$B$5="Todas",C97=Seguridad!$B$5),OR(Seguridad!$E$5="Ambos",D97=Seguridad!$E$5),OR(Seguridad!$M$5="Todas",B97=Seguridad!$M$5)),1,0)</f>
        <v>1</v>
      </c>
    </row>
    <row r="98" spans="1:13">
      <c r="A98" s="5">
        <v>46280</v>
      </c>
      <c r="B98" t="s">
        <v>34</v>
      </c>
      <c r="C98" t="s">
        <v>8</v>
      </c>
      <c r="D98" t="s">
        <v>84</v>
      </c>
      <c r="E98">
        <v>68</v>
      </c>
      <c r="F98">
        <v>7.7</v>
      </c>
      <c r="G98">
        <v>4.543000000000001</v>
      </c>
      <c r="H98">
        <v>0</v>
      </c>
      <c r="I98">
        <v>0</v>
      </c>
      <c r="J98">
        <v>0</v>
      </c>
      <c r="K98">
        <v>4</v>
      </c>
      <c r="L98">
        <v>0</v>
      </c>
      <c r="M98">
        <f>IF(AND(A98&gt;=Seguridad!$H$5,A98&lt;=Seguridad!$J$5,OR(Seguridad!$B$5="Todas",C98=Seguridad!$B$5),OR(Seguridad!$E$5="Ambos",D98=Seguridad!$E$5),OR(Seguridad!$M$5="Todas",B98=Seguridad!$M$5)),1,0)</f>
        <v>1</v>
      </c>
    </row>
    <row r="99" spans="1:13">
      <c r="A99" s="5">
        <v>46281</v>
      </c>
      <c r="B99" t="s">
        <v>34</v>
      </c>
      <c r="C99" t="s">
        <v>8</v>
      </c>
      <c r="D99" t="s">
        <v>81</v>
      </c>
      <c r="E99">
        <v>60</v>
      </c>
      <c r="F99">
        <v>7.3</v>
      </c>
      <c r="G99">
        <v>4.0150000000000006</v>
      </c>
      <c r="H99">
        <v>0</v>
      </c>
      <c r="I99">
        <v>0</v>
      </c>
      <c r="J99">
        <v>0</v>
      </c>
      <c r="K99">
        <v>5</v>
      </c>
      <c r="L99">
        <v>0</v>
      </c>
      <c r="M99">
        <f>IF(AND(A99&gt;=Seguridad!$H$5,A99&lt;=Seguridad!$J$5,OR(Seguridad!$B$5="Todas",C99=Seguridad!$B$5),OR(Seguridad!$E$5="Ambos",D99=Seguridad!$E$5),OR(Seguridad!$M$5="Todas",B99=Seguridad!$M$5)),1,0)</f>
        <v>1</v>
      </c>
    </row>
    <row r="100" spans="1:13">
      <c r="A100" s="5">
        <v>46281</v>
      </c>
      <c r="B100" t="s">
        <v>34</v>
      </c>
      <c r="C100" t="s">
        <v>8</v>
      </c>
      <c r="D100" t="s">
        <v>84</v>
      </c>
      <c r="E100">
        <v>83</v>
      </c>
      <c r="F100">
        <v>8.4</v>
      </c>
      <c r="G100">
        <v>5.5440000000000005</v>
      </c>
      <c r="H100">
        <v>0</v>
      </c>
      <c r="I100">
        <v>0</v>
      </c>
      <c r="J100">
        <v>0</v>
      </c>
      <c r="K100">
        <v>6</v>
      </c>
      <c r="L100">
        <v>0</v>
      </c>
      <c r="M100">
        <f>IF(AND(A100&gt;=Seguridad!$H$5,A100&lt;=Seguridad!$J$5,OR(Seguridad!$B$5="Todas",C100=Seguridad!$B$5),OR(Seguridad!$E$5="Ambos",D100=Seguridad!$E$5),OR(Seguridad!$M$5="Todas",B100=Seguridad!$M$5)),1,0)</f>
        <v>1</v>
      </c>
    </row>
    <row r="101" spans="1:13">
      <c r="A101" s="5">
        <v>46282</v>
      </c>
      <c r="B101" t="s">
        <v>34</v>
      </c>
      <c r="C101" t="s">
        <v>8</v>
      </c>
      <c r="D101" t="s">
        <v>81</v>
      </c>
      <c r="E101">
        <v>74</v>
      </c>
      <c r="F101">
        <v>8</v>
      </c>
      <c r="G101">
        <v>4.96</v>
      </c>
      <c r="H101">
        <v>0</v>
      </c>
      <c r="I101">
        <v>0</v>
      </c>
      <c r="J101">
        <v>0</v>
      </c>
      <c r="K101">
        <v>2</v>
      </c>
      <c r="L101">
        <v>0</v>
      </c>
      <c r="M101">
        <f>IF(AND(A101&gt;=Seguridad!$H$5,A101&lt;=Seguridad!$J$5,OR(Seguridad!$B$5="Todas",C101=Seguridad!$B$5),OR(Seguridad!$E$5="Ambos",D101=Seguridad!$E$5),OR(Seguridad!$M$5="Todas",B101=Seguridad!$M$5)),1,0)</f>
        <v>1</v>
      </c>
    </row>
    <row r="102" spans="1:13">
      <c r="A102" s="5">
        <v>46282</v>
      </c>
      <c r="B102" t="s">
        <v>34</v>
      </c>
      <c r="C102" t="s">
        <v>8</v>
      </c>
      <c r="D102" t="s">
        <v>84</v>
      </c>
      <c r="E102">
        <v>52</v>
      </c>
      <c r="F102">
        <v>6.6</v>
      </c>
      <c r="G102">
        <v>3.4979999999999998</v>
      </c>
      <c r="H102">
        <v>0</v>
      </c>
      <c r="I102">
        <v>0</v>
      </c>
      <c r="J102">
        <v>0</v>
      </c>
      <c r="K102">
        <v>3</v>
      </c>
      <c r="L102">
        <v>0</v>
      </c>
      <c r="M102">
        <f>IF(AND(A102&gt;=Seguridad!$H$5,A102&lt;=Seguridad!$J$5,OR(Seguridad!$B$5="Todas",C102=Seguridad!$B$5),OR(Seguridad!$E$5="Ambos",D102=Seguridad!$E$5),OR(Seguridad!$M$5="Todas",B102=Seguridad!$M$5)),1,0)</f>
        <v>1</v>
      </c>
    </row>
    <row r="103" spans="1:13">
      <c r="A103" s="5">
        <v>46283</v>
      </c>
      <c r="B103" t="s">
        <v>34</v>
      </c>
      <c r="C103" t="s">
        <v>8</v>
      </c>
      <c r="D103" t="s">
        <v>81</v>
      </c>
      <c r="E103">
        <v>64</v>
      </c>
      <c r="F103">
        <v>6.2</v>
      </c>
      <c r="G103">
        <v>4.2780000000000005</v>
      </c>
      <c r="H103">
        <v>0</v>
      </c>
      <c r="I103">
        <v>0</v>
      </c>
      <c r="J103">
        <v>0</v>
      </c>
      <c r="K103">
        <v>4</v>
      </c>
      <c r="L103">
        <v>0</v>
      </c>
      <c r="M103">
        <f>IF(AND(A103&gt;=Seguridad!$H$5,A103&lt;=Seguridad!$J$5,OR(Seguridad!$B$5="Todas",C103=Seguridad!$B$5),OR(Seguridad!$E$5="Ambos",D103=Seguridad!$E$5),OR(Seguridad!$M$5="Todas",B103=Seguridad!$M$5)),1,0)</f>
        <v>1</v>
      </c>
    </row>
    <row r="104" spans="1:13">
      <c r="A104" s="5">
        <v>46283</v>
      </c>
      <c r="B104" t="s">
        <v>34</v>
      </c>
      <c r="C104" t="s">
        <v>8</v>
      </c>
      <c r="D104" t="s">
        <v>84</v>
      </c>
      <c r="E104">
        <v>66</v>
      </c>
      <c r="F104">
        <v>7.3</v>
      </c>
      <c r="G104">
        <v>4.38</v>
      </c>
      <c r="H104">
        <v>1</v>
      </c>
      <c r="I104">
        <v>0</v>
      </c>
      <c r="J104">
        <v>0</v>
      </c>
      <c r="K104">
        <v>5</v>
      </c>
      <c r="L104">
        <v>0</v>
      </c>
      <c r="M104">
        <f>IF(AND(A104&gt;=Seguridad!$H$5,A104&lt;=Seguridad!$J$5,OR(Seguridad!$B$5="Todas",C104=Seguridad!$B$5),OR(Seguridad!$E$5="Ambos",D104=Seguridad!$E$5),OR(Seguridad!$M$5="Todas",B104=Seguridad!$M$5)),1,0)</f>
        <v>1</v>
      </c>
    </row>
    <row r="105" spans="1:13">
      <c r="A105" s="5">
        <v>46284</v>
      </c>
      <c r="B105" t="s">
        <v>34</v>
      </c>
      <c r="C105" t="s">
        <v>8</v>
      </c>
      <c r="D105" t="s">
        <v>81</v>
      </c>
      <c r="E105">
        <v>58</v>
      </c>
      <c r="F105">
        <v>6.9</v>
      </c>
      <c r="G105">
        <v>3.8640000000000008</v>
      </c>
      <c r="H105">
        <v>1</v>
      </c>
      <c r="I105">
        <v>0</v>
      </c>
      <c r="J105">
        <v>0</v>
      </c>
      <c r="K105">
        <v>6</v>
      </c>
      <c r="L105">
        <v>1</v>
      </c>
      <c r="M105">
        <f>IF(AND(A105&gt;=Seguridad!$H$5,A105&lt;=Seguridad!$J$5,OR(Seguridad!$B$5="Todas",C105=Seguridad!$B$5),OR(Seguridad!$E$5="Ambos",D105=Seguridad!$E$5),OR(Seguridad!$M$5="Todas",B105=Seguridad!$M$5)),1,0)</f>
        <v>1</v>
      </c>
    </row>
    <row r="106" spans="1:13">
      <c r="A106" s="5">
        <v>46284</v>
      </c>
      <c r="B106" t="s">
        <v>34</v>
      </c>
      <c r="C106" t="s">
        <v>8</v>
      </c>
      <c r="D106" t="s">
        <v>84</v>
      </c>
      <c r="E106">
        <v>80</v>
      </c>
      <c r="F106">
        <v>8</v>
      </c>
      <c r="G106">
        <v>5.36</v>
      </c>
      <c r="H106">
        <v>0</v>
      </c>
      <c r="I106">
        <v>1</v>
      </c>
      <c r="J106">
        <v>0</v>
      </c>
      <c r="K106">
        <v>2</v>
      </c>
      <c r="L106">
        <v>0</v>
      </c>
      <c r="M106">
        <f>IF(AND(A106&gt;=Seguridad!$H$5,A106&lt;=Seguridad!$J$5,OR(Seguridad!$B$5="Todas",C106=Seguridad!$B$5),OR(Seguridad!$E$5="Ambos",D106=Seguridad!$E$5),OR(Seguridad!$M$5="Todas",B106=Seguridad!$M$5)),1,0)</f>
        <v>1</v>
      </c>
    </row>
    <row r="107" spans="1:13">
      <c r="A107" s="5">
        <v>46285</v>
      </c>
      <c r="B107" t="s">
        <v>34</v>
      </c>
      <c r="C107" t="s">
        <v>8</v>
      </c>
      <c r="D107" t="s">
        <v>81</v>
      </c>
      <c r="E107">
        <v>72</v>
      </c>
      <c r="F107">
        <v>7.6</v>
      </c>
      <c r="G107">
        <v>4.7879999999999994</v>
      </c>
      <c r="H107">
        <v>0</v>
      </c>
      <c r="I107">
        <v>0</v>
      </c>
      <c r="J107">
        <v>0</v>
      </c>
      <c r="K107">
        <v>3</v>
      </c>
      <c r="L107">
        <v>0</v>
      </c>
      <c r="M107">
        <f>IF(AND(A107&gt;=Seguridad!$H$5,A107&lt;=Seguridad!$J$5,OR(Seguridad!$B$5="Todas",C107=Seguridad!$B$5),OR(Seguridad!$E$5="Ambos",D107=Seguridad!$E$5),OR(Seguridad!$M$5="Todas",B107=Seguridad!$M$5)),1,0)</f>
        <v>1</v>
      </c>
    </row>
    <row r="108" spans="1:13">
      <c r="A108" s="5">
        <v>46285</v>
      </c>
      <c r="B108" t="s">
        <v>34</v>
      </c>
      <c r="C108" t="s">
        <v>8</v>
      </c>
      <c r="D108" t="s">
        <v>84</v>
      </c>
      <c r="E108">
        <v>50</v>
      </c>
      <c r="F108">
        <v>6.2</v>
      </c>
      <c r="G108">
        <v>3.3480000000000003</v>
      </c>
      <c r="H108">
        <v>0</v>
      </c>
      <c r="I108">
        <v>0</v>
      </c>
      <c r="J108">
        <v>0</v>
      </c>
      <c r="K108">
        <v>4</v>
      </c>
      <c r="L108">
        <v>0</v>
      </c>
      <c r="M108">
        <f>IF(AND(A108&gt;=Seguridad!$H$5,A108&lt;=Seguridad!$J$5,OR(Seguridad!$B$5="Todas",C108=Seguridad!$B$5),OR(Seguridad!$E$5="Ambos",D108=Seguridad!$E$5),OR(Seguridad!$M$5="Todas",B108=Seguridad!$M$5)),1,0)</f>
        <v>1</v>
      </c>
    </row>
    <row r="109" spans="1:13">
      <c r="A109" s="5">
        <v>46286</v>
      </c>
      <c r="B109" t="s">
        <v>34</v>
      </c>
      <c r="C109" t="s">
        <v>8</v>
      </c>
      <c r="D109" t="s">
        <v>81</v>
      </c>
      <c r="E109">
        <v>87</v>
      </c>
      <c r="F109">
        <v>8.3000000000000007</v>
      </c>
      <c r="G109">
        <v>5.8100000000000005</v>
      </c>
      <c r="H109">
        <v>0</v>
      </c>
      <c r="I109">
        <v>0</v>
      </c>
      <c r="J109">
        <v>0</v>
      </c>
      <c r="K109">
        <v>5</v>
      </c>
      <c r="L109">
        <v>0</v>
      </c>
      <c r="M109">
        <f>IF(AND(A109&gt;=Seguridad!$H$5,A109&lt;=Seguridad!$J$5,OR(Seguridad!$B$5="Todas",C109=Seguridad!$B$5),OR(Seguridad!$E$5="Ambos",D109=Seguridad!$E$5),OR(Seguridad!$M$5="Todas",B109=Seguridad!$M$5)),1,0)</f>
        <v>1</v>
      </c>
    </row>
    <row r="110" spans="1:13">
      <c r="A110" s="5">
        <v>46286</v>
      </c>
      <c r="B110" t="s">
        <v>34</v>
      </c>
      <c r="C110" t="s">
        <v>8</v>
      </c>
      <c r="D110" t="s">
        <v>84</v>
      </c>
      <c r="E110">
        <v>63</v>
      </c>
      <c r="F110">
        <v>6.9</v>
      </c>
      <c r="G110">
        <v>4.2090000000000005</v>
      </c>
      <c r="H110">
        <v>0</v>
      </c>
      <c r="I110">
        <v>0</v>
      </c>
      <c r="J110">
        <v>1</v>
      </c>
      <c r="K110">
        <v>6</v>
      </c>
      <c r="L110">
        <v>0</v>
      </c>
      <c r="M110">
        <f>IF(AND(A110&gt;=Seguridad!$H$5,A110&lt;=Seguridad!$J$5,OR(Seguridad!$B$5="Todas",C110=Seguridad!$B$5),OR(Seguridad!$E$5="Ambos",D110=Seguridad!$E$5),OR(Seguridad!$M$5="Todas",B110=Seguridad!$M$5)),1,0)</f>
        <v>1</v>
      </c>
    </row>
    <row r="111" spans="1:13">
      <c r="A111" s="5">
        <v>46287</v>
      </c>
      <c r="B111" t="s">
        <v>34</v>
      </c>
      <c r="C111" t="s">
        <v>8</v>
      </c>
      <c r="D111" t="s">
        <v>81</v>
      </c>
      <c r="E111">
        <v>56</v>
      </c>
      <c r="F111">
        <v>6.5</v>
      </c>
      <c r="G111">
        <v>3.7050000000000005</v>
      </c>
      <c r="H111">
        <v>0</v>
      </c>
      <c r="I111">
        <v>0</v>
      </c>
      <c r="J111">
        <v>0</v>
      </c>
      <c r="K111">
        <v>2</v>
      </c>
      <c r="L111">
        <v>0</v>
      </c>
      <c r="M111">
        <f>IF(AND(A111&gt;=Seguridad!$H$5,A111&lt;=Seguridad!$J$5,OR(Seguridad!$B$5="Todas",C111=Seguridad!$B$5),OR(Seguridad!$E$5="Ambos",D111=Seguridad!$E$5),OR(Seguridad!$M$5="Todas",B111=Seguridad!$M$5)),1,0)</f>
        <v>1</v>
      </c>
    </row>
    <row r="112" spans="1:13">
      <c r="A112" s="5">
        <v>46287</v>
      </c>
      <c r="B112" t="s">
        <v>34</v>
      </c>
      <c r="C112" t="s">
        <v>8</v>
      </c>
      <c r="D112" t="s">
        <v>84</v>
      </c>
      <c r="E112">
        <v>78</v>
      </c>
      <c r="F112">
        <v>7.6</v>
      </c>
      <c r="G112">
        <v>5.1680000000000001</v>
      </c>
      <c r="H112">
        <v>1</v>
      </c>
      <c r="I112">
        <v>0</v>
      </c>
      <c r="J112">
        <v>0</v>
      </c>
      <c r="K112">
        <v>3</v>
      </c>
      <c r="L112">
        <v>0</v>
      </c>
      <c r="M112">
        <f>IF(AND(A112&gt;=Seguridad!$H$5,A112&lt;=Seguridad!$J$5,OR(Seguridad!$B$5="Todas",C112=Seguridad!$B$5),OR(Seguridad!$E$5="Ambos",D112=Seguridad!$E$5),OR(Seguridad!$M$5="Todas",B112=Seguridad!$M$5)),1,0)</f>
        <v>1</v>
      </c>
    </row>
    <row r="113" spans="1:13">
      <c r="A113" s="5">
        <v>46288</v>
      </c>
      <c r="B113" t="s">
        <v>34</v>
      </c>
      <c r="C113" t="s">
        <v>8</v>
      </c>
      <c r="D113" t="s">
        <v>81</v>
      </c>
      <c r="E113">
        <v>69</v>
      </c>
      <c r="F113">
        <v>7.2</v>
      </c>
      <c r="G113">
        <v>4.6080000000000005</v>
      </c>
      <c r="H113">
        <v>1</v>
      </c>
      <c r="I113">
        <v>0</v>
      </c>
      <c r="J113">
        <v>0</v>
      </c>
      <c r="K113">
        <v>4</v>
      </c>
      <c r="L113">
        <v>0</v>
      </c>
      <c r="M113">
        <f>IF(AND(A113&gt;=Seguridad!$H$5,A113&lt;=Seguridad!$J$5,OR(Seguridad!$B$5="Todas",C113=Seguridad!$B$5),OR(Seguridad!$E$5="Ambos",D113=Seguridad!$E$5),OR(Seguridad!$M$5="Todas",B113=Seguridad!$M$5)),1,0)</f>
        <v>1</v>
      </c>
    </row>
    <row r="114" spans="1:13">
      <c r="A114" s="5">
        <v>46288</v>
      </c>
      <c r="B114" t="s">
        <v>34</v>
      </c>
      <c r="C114" t="s">
        <v>8</v>
      </c>
      <c r="D114" t="s">
        <v>84</v>
      </c>
      <c r="E114">
        <v>68</v>
      </c>
      <c r="F114">
        <v>8.3000000000000007</v>
      </c>
      <c r="G114">
        <v>4.5650000000000004</v>
      </c>
      <c r="H114">
        <v>0</v>
      </c>
      <c r="I114">
        <v>0</v>
      </c>
      <c r="J114">
        <v>0</v>
      </c>
      <c r="K114">
        <v>5</v>
      </c>
      <c r="L114">
        <v>0</v>
      </c>
      <c r="M114">
        <f>IF(AND(A114&gt;=Seguridad!$H$5,A114&lt;=Seguridad!$J$5,OR(Seguridad!$B$5="Todas",C114=Seguridad!$B$5),OR(Seguridad!$E$5="Ambos",D114=Seguridad!$E$5),OR(Seguridad!$M$5="Todas",B114=Seguridad!$M$5)),1,0)</f>
        <v>1</v>
      </c>
    </row>
    <row r="115" spans="1:13">
      <c r="A115" s="5">
        <v>46289</v>
      </c>
      <c r="B115" t="s">
        <v>34</v>
      </c>
      <c r="C115" t="s">
        <v>8</v>
      </c>
      <c r="D115" t="s">
        <v>81</v>
      </c>
      <c r="E115">
        <v>84</v>
      </c>
      <c r="F115">
        <v>7.9</v>
      </c>
      <c r="G115">
        <v>5.609</v>
      </c>
      <c r="H115">
        <v>0</v>
      </c>
      <c r="I115">
        <v>0</v>
      </c>
      <c r="J115">
        <v>0</v>
      </c>
      <c r="K115">
        <v>6</v>
      </c>
      <c r="L115">
        <v>0</v>
      </c>
      <c r="M115">
        <f>IF(AND(A115&gt;=Seguridad!$H$5,A115&lt;=Seguridad!$J$5,OR(Seguridad!$B$5="Todas",C115=Seguridad!$B$5),OR(Seguridad!$E$5="Ambos",D115=Seguridad!$E$5),OR(Seguridad!$M$5="Todas",B115=Seguridad!$M$5)),1,0)</f>
        <v>1</v>
      </c>
    </row>
    <row r="116" spans="1:13">
      <c r="A116" s="5">
        <v>46289</v>
      </c>
      <c r="B116" t="s">
        <v>34</v>
      </c>
      <c r="C116" t="s">
        <v>8</v>
      </c>
      <c r="D116" t="s">
        <v>84</v>
      </c>
      <c r="E116">
        <v>60</v>
      </c>
      <c r="F116">
        <v>6.5</v>
      </c>
      <c r="G116">
        <v>4.03</v>
      </c>
      <c r="H116">
        <v>0</v>
      </c>
      <c r="I116">
        <v>0</v>
      </c>
      <c r="J116">
        <v>0</v>
      </c>
      <c r="K116">
        <v>2</v>
      </c>
      <c r="L116">
        <v>1</v>
      </c>
      <c r="M116">
        <f>IF(AND(A116&gt;=Seguridad!$H$5,A116&lt;=Seguridad!$J$5,OR(Seguridad!$B$5="Todas",C116=Seguridad!$B$5),OR(Seguridad!$E$5="Ambos",D116=Seguridad!$E$5),OR(Seguridad!$M$5="Todas",B116=Seguridad!$M$5)),1,0)</f>
        <v>1</v>
      </c>
    </row>
    <row r="117" spans="1:13">
      <c r="A117" s="5">
        <v>46276</v>
      </c>
      <c r="B117" t="s">
        <v>35</v>
      </c>
      <c r="C117" t="s">
        <v>36</v>
      </c>
      <c r="D117" t="s">
        <v>81</v>
      </c>
      <c r="E117">
        <v>132</v>
      </c>
      <c r="F117">
        <v>8</v>
      </c>
      <c r="G117">
        <v>4.5600000000000005</v>
      </c>
      <c r="H117">
        <v>0</v>
      </c>
      <c r="I117">
        <v>0</v>
      </c>
      <c r="J117">
        <v>0</v>
      </c>
      <c r="K117">
        <v>2</v>
      </c>
      <c r="L117">
        <v>0</v>
      </c>
      <c r="M117">
        <f>IF(AND(A117&gt;=Seguridad!$H$5,A117&lt;=Seguridad!$J$5,OR(Seguridad!$B$5="Todas",C117=Seguridad!$B$5),OR(Seguridad!$E$5="Ambos",D117=Seguridad!$E$5),OR(Seguridad!$M$5="Todas",B117=Seguridad!$M$5)),1,0)</f>
        <v>0</v>
      </c>
    </row>
    <row r="118" spans="1:13">
      <c r="A118" s="5">
        <v>46276</v>
      </c>
      <c r="B118" t="s">
        <v>35</v>
      </c>
      <c r="C118" t="s">
        <v>36</v>
      </c>
      <c r="D118" t="s">
        <v>84</v>
      </c>
      <c r="E118">
        <v>130</v>
      </c>
      <c r="F118">
        <v>6.6</v>
      </c>
      <c r="G118">
        <v>4.4880000000000004</v>
      </c>
      <c r="H118">
        <v>1</v>
      </c>
      <c r="I118">
        <v>1</v>
      </c>
      <c r="J118">
        <v>0</v>
      </c>
      <c r="K118">
        <v>3</v>
      </c>
      <c r="L118">
        <v>0</v>
      </c>
      <c r="M118">
        <f>IF(AND(A118&gt;=Seguridad!$H$5,A118&lt;=Seguridad!$J$5,OR(Seguridad!$B$5="Todas",C118=Seguridad!$B$5),OR(Seguridad!$E$5="Ambos",D118=Seguridad!$E$5),OR(Seguridad!$M$5="Todas",B118=Seguridad!$M$5)),1,0)</f>
        <v>0</v>
      </c>
    </row>
    <row r="119" spans="1:13">
      <c r="A119" s="5">
        <v>46277</v>
      </c>
      <c r="B119" t="s">
        <v>35</v>
      </c>
      <c r="C119" t="s">
        <v>36</v>
      </c>
      <c r="D119" t="s">
        <v>81</v>
      </c>
      <c r="E119">
        <v>115</v>
      </c>
      <c r="F119">
        <v>6.2</v>
      </c>
      <c r="G119">
        <v>3.9680000000000004</v>
      </c>
      <c r="H119">
        <v>1</v>
      </c>
      <c r="I119">
        <v>0</v>
      </c>
      <c r="J119">
        <v>1</v>
      </c>
      <c r="K119">
        <v>4</v>
      </c>
      <c r="L119">
        <v>0</v>
      </c>
      <c r="M119">
        <f>IF(AND(A119&gt;=Seguridad!$H$5,A119&lt;=Seguridad!$J$5,OR(Seguridad!$B$5="Todas",C119=Seguridad!$B$5),OR(Seguridad!$E$5="Ambos",D119=Seguridad!$E$5),OR(Seguridad!$M$5="Todas",B119=Seguridad!$M$5)),1,0)</f>
        <v>0</v>
      </c>
    </row>
    <row r="120" spans="1:13">
      <c r="A120" s="5">
        <v>46277</v>
      </c>
      <c r="B120" t="s">
        <v>35</v>
      </c>
      <c r="C120" t="s">
        <v>36</v>
      </c>
      <c r="D120" t="s">
        <v>84</v>
      </c>
      <c r="E120">
        <v>116</v>
      </c>
      <c r="F120">
        <v>7.3</v>
      </c>
      <c r="G120">
        <v>4.0150000000000006</v>
      </c>
      <c r="H120">
        <v>0</v>
      </c>
      <c r="I120">
        <v>0</v>
      </c>
      <c r="J120">
        <v>0</v>
      </c>
      <c r="K120">
        <v>5</v>
      </c>
      <c r="L120">
        <v>0</v>
      </c>
      <c r="M120">
        <f>IF(AND(A120&gt;=Seguridad!$H$5,A120&lt;=Seguridad!$J$5,OR(Seguridad!$B$5="Todas",C120=Seguridad!$B$5),OR(Seguridad!$E$5="Ambos",D120=Seguridad!$E$5),OR(Seguridad!$M$5="Todas",B120=Seguridad!$M$5)),1,0)</f>
        <v>0</v>
      </c>
    </row>
    <row r="121" spans="1:13">
      <c r="A121" s="5">
        <v>46278</v>
      </c>
      <c r="B121" t="s">
        <v>35</v>
      </c>
      <c r="C121" t="s">
        <v>36</v>
      </c>
      <c r="D121" t="s">
        <v>81</v>
      </c>
      <c r="E121">
        <v>142</v>
      </c>
      <c r="F121">
        <v>6.9</v>
      </c>
      <c r="G121">
        <v>4.899</v>
      </c>
      <c r="H121">
        <v>0</v>
      </c>
      <c r="I121">
        <v>0</v>
      </c>
      <c r="J121">
        <v>0</v>
      </c>
      <c r="K121">
        <v>6</v>
      </c>
      <c r="L121">
        <v>0</v>
      </c>
      <c r="M121">
        <f>IF(AND(A121&gt;=Seguridad!$H$5,A121&lt;=Seguridad!$J$5,OR(Seguridad!$B$5="Todas",C121=Seguridad!$B$5),OR(Seguridad!$E$5="Ambos",D121=Seguridad!$E$5),OR(Seguridad!$M$5="Todas",B121=Seguridad!$M$5)),1,0)</f>
        <v>0</v>
      </c>
    </row>
    <row r="122" spans="1:13">
      <c r="A122" s="5">
        <v>46278</v>
      </c>
      <c r="B122" t="s">
        <v>35</v>
      </c>
      <c r="C122" t="s">
        <v>36</v>
      </c>
      <c r="D122" t="s">
        <v>84</v>
      </c>
      <c r="E122">
        <v>144</v>
      </c>
      <c r="F122">
        <v>8</v>
      </c>
      <c r="G122">
        <v>4.96</v>
      </c>
      <c r="H122">
        <v>0</v>
      </c>
      <c r="I122">
        <v>0</v>
      </c>
      <c r="J122">
        <v>0</v>
      </c>
      <c r="K122">
        <v>2</v>
      </c>
      <c r="L122">
        <v>0</v>
      </c>
      <c r="M122">
        <f>IF(AND(A122&gt;=Seguridad!$H$5,A122&lt;=Seguridad!$J$5,OR(Seguridad!$B$5="Todas",C122=Seguridad!$B$5),OR(Seguridad!$E$5="Ambos",D122=Seguridad!$E$5),OR(Seguridad!$M$5="Todas",B122=Seguridad!$M$5)),1,0)</f>
        <v>0</v>
      </c>
    </row>
    <row r="123" spans="1:13">
      <c r="A123" s="5">
        <v>46279</v>
      </c>
      <c r="B123" t="s">
        <v>35</v>
      </c>
      <c r="C123" t="s">
        <v>36</v>
      </c>
      <c r="D123" t="s">
        <v>81</v>
      </c>
      <c r="E123">
        <v>128</v>
      </c>
      <c r="F123">
        <v>7.6</v>
      </c>
      <c r="G123">
        <v>4.4080000000000004</v>
      </c>
      <c r="H123">
        <v>0</v>
      </c>
      <c r="I123">
        <v>0</v>
      </c>
      <c r="J123">
        <v>0</v>
      </c>
      <c r="K123">
        <v>3</v>
      </c>
      <c r="L123">
        <v>0</v>
      </c>
      <c r="M123">
        <f>IF(AND(A123&gt;=Seguridad!$H$5,A123&lt;=Seguridad!$J$5,OR(Seguridad!$B$5="Todas",C123=Seguridad!$B$5),OR(Seguridad!$E$5="Ambos",D123=Seguridad!$E$5),OR(Seguridad!$M$5="Todas",B123=Seguridad!$M$5)),1,0)</f>
        <v>0</v>
      </c>
    </row>
    <row r="124" spans="1:13">
      <c r="A124" s="5">
        <v>46279</v>
      </c>
      <c r="B124" t="s">
        <v>35</v>
      </c>
      <c r="C124" t="s">
        <v>36</v>
      </c>
      <c r="D124" t="s">
        <v>84</v>
      </c>
      <c r="E124">
        <v>124</v>
      </c>
      <c r="F124">
        <v>6.2</v>
      </c>
      <c r="G124">
        <v>4.2780000000000005</v>
      </c>
      <c r="H124">
        <v>0</v>
      </c>
      <c r="I124">
        <v>0</v>
      </c>
      <c r="J124">
        <v>0</v>
      </c>
      <c r="K124">
        <v>4</v>
      </c>
      <c r="L124">
        <v>0</v>
      </c>
      <c r="M124">
        <f>IF(AND(A124&gt;=Seguridad!$H$5,A124&lt;=Seguridad!$J$5,OR(Seguridad!$B$5="Todas",C124=Seguridad!$B$5),OR(Seguridad!$E$5="Ambos",D124=Seguridad!$E$5),OR(Seguridad!$M$5="Todas",B124=Seguridad!$M$5)),1,0)</f>
        <v>0</v>
      </c>
    </row>
    <row r="125" spans="1:13">
      <c r="A125" s="5">
        <v>46280</v>
      </c>
      <c r="B125" t="s">
        <v>35</v>
      </c>
      <c r="C125" t="s">
        <v>36</v>
      </c>
      <c r="D125" t="s">
        <v>81</v>
      </c>
      <c r="E125">
        <v>156</v>
      </c>
      <c r="F125">
        <v>8.3000000000000007</v>
      </c>
      <c r="G125">
        <v>5.3950000000000005</v>
      </c>
      <c r="H125">
        <v>0</v>
      </c>
      <c r="I125">
        <v>0</v>
      </c>
      <c r="J125">
        <v>0</v>
      </c>
      <c r="K125">
        <v>5</v>
      </c>
      <c r="L125">
        <v>0</v>
      </c>
      <c r="M125">
        <f>IF(AND(A125&gt;=Seguridad!$H$5,A125&lt;=Seguridad!$J$5,OR(Seguridad!$B$5="Todas",C125=Seguridad!$B$5),OR(Seguridad!$E$5="Ambos",D125=Seguridad!$E$5),OR(Seguridad!$M$5="Todas",B125=Seguridad!$M$5)),1,0)</f>
        <v>0</v>
      </c>
    </row>
    <row r="126" spans="1:13">
      <c r="A126" s="5">
        <v>46280</v>
      </c>
      <c r="B126" t="s">
        <v>35</v>
      </c>
      <c r="C126" t="s">
        <v>36</v>
      </c>
      <c r="D126" t="s">
        <v>84</v>
      </c>
      <c r="E126">
        <v>112</v>
      </c>
      <c r="F126">
        <v>6.9</v>
      </c>
      <c r="G126">
        <v>3.8640000000000008</v>
      </c>
      <c r="H126">
        <v>1</v>
      </c>
      <c r="I126">
        <v>0</v>
      </c>
      <c r="J126">
        <v>0</v>
      </c>
      <c r="K126">
        <v>6</v>
      </c>
      <c r="L126">
        <v>1</v>
      </c>
      <c r="M126">
        <f>IF(AND(A126&gt;=Seguridad!$H$5,A126&lt;=Seguridad!$J$5,OR(Seguridad!$B$5="Todas",C126=Seguridad!$B$5),OR(Seguridad!$E$5="Ambos",D126=Seguridad!$E$5),OR(Seguridad!$M$5="Todas",B126=Seguridad!$M$5)),1,0)</f>
        <v>0</v>
      </c>
    </row>
    <row r="127" spans="1:13">
      <c r="A127" s="5">
        <v>46281</v>
      </c>
      <c r="B127" t="s">
        <v>35</v>
      </c>
      <c r="C127" t="s">
        <v>36</v>
      </c>
      <c r="D127" t="s">
        <v>81</v>
      </c>
      <c r="E127">
        <v>98</v>
      </c>
      <c r="F127">
        <v>6.5</v>
      </c>
      <c r="G127">
        <v>3.38</v>
      </c>
      <c r="H127">
        <v>1</v>
      </c>
      <c r="I127">
        <v>0</v>
      </c>
      <c r="J127">
        <v>0</v>
      </c>
      <c r="K127">
        <v>2</v>
      </c>
      <c r="L127">
        <v>0</v>
      </c>
      <c r="M127">
        <f>IF(AND(A127&gt;=Seguridad!$H$5,A127&lt;=Seguridad!$J$5,OR(Seguridad!$B$5="Todas",C127=Seguridad!$B$5),OR(Seguridad!$E$5="Ambos",D127=Seguridad!$E$5),OR(Seguridad!$M$5="Todas",B127=Seguridad!$M$5)),1,0)</f>
        <v>0</v>
      </c>
    </row>
    <row r="128" spans="1:13">
      <c r="A128" s="5">
        <v>46281</v>
      </c>
      <c r="B128" t="s">
        <v>35</v>
      </c>
      <c r="C128" t="s">
        <v>36</v>
      </c>
      <c r="D128" t="s">
        <v>84</v>
      </c>
      <c r="E128">
        <v>139</v>
      </c>
      <c r="F128">
        <v>7.6</v>
      </c>
      <c r="G128">
        <v>4.7879999999999994</v>
      </c>
      <c r="H128">
        <v>0</v>
      </c>
      <c r="I128">
        <v>0</v>
      </c>
      <c r="J128">
        <v>0</v>
      </c>
      <c r="K128">
        <v>3</v>
      </c>
      <c r="L128">
        <v>0</v>
      </c>
      <c r="M128">
        <f>IF(AND(A128&gt;=Seguridad!$H$5,A128&lt;=Seguridad!$J$5,OR(Seguridad!$B$5="Todas",C128=Seguridad!$B$5),OR(Seguridad!$E$5="Ambos",D128=Seguridad!$E$5),OR(Seguridad!$M$5="Todas",B128=Seguridad!$M$5)),1,0)</f>
        <v>0</v>
      </c>
    </row>
    <row r="129" spans="1:13">
      <c r="A129" s="5">
        <v>46282</v>
      </c>
      <c r="B129" t="s">
        <v>35</v>
      </c>
      <c r="C129" t="s">
        <v>36</v>
      </c>
      <c r="D129" t="s">
        <v>81</v>
      </c>
      <c r="E129">
        <v>123</v>
      </c>
      <c r="F129">
        <v>7.2</v>
      </c>
      <c r="G129">
        <v>4.2480000000000011</v>
      </c>
      <c r="H129">
        <v>0</v>
      </c>
      <c r="I129">
        <v>0</v>
      </c>
      <c r="J129">
        <v>0</v>
      </c>
      <c r="K129">
        <v>4</v>
      </c>
      <c r="L129">
        <v>0</v>
      </c>
      <c r="M129">
        <f>IF(AND(A129&gt;=Seguridad!$H$5,A129&lt;=Seguridad!$J$5,OR(Seguridad!$B$5="Todas",C129=Seguridad!$B$5),OR(Seguridad!$E$5="Ambos",D129=Seguridad!$E$5),OR(Seguridad!$M$5="Todas",B129=Seguridad!$M$5)),1,0)</f>
        <v>0</v>
      </c>
    </row>
    <row r="130" spans="1:13">
      <c r="A130" s="5">
        <v>46282</v>
      </c>
      <c r="B130" t="s">
        <v>35</v>
      </c>
      <c r="C130" t="s">
        <v>36</v>
      </c>
      <c r="D130" t="s">
        <v>84</v>
      </c>
      <c r="E130">
        <v>168</v>
      </c>
      <c r="F130">
        <v>8.3000000000000007</v>
      </c>
      <c r="G130">
        <v>5.8100000000000005</v>
      </c>
      <c r="H130">
        <v>0</v>
      </c>
      <c r="I130">
        <v>0</v>
      </c>
      <c r="J130">
        <v>0</v>
      </c>
      <c r="K130">
        <v>5</v>
      </c>
      <c r="L130">
        <v>0</v>
      </c>
      <c r="M130">
        <f>IF(AND(A130&gt;=Seguridad!$H$5,A130&lt;=Seguridad!$J$5,OR(Seguridad!$B$5="Todas",C130=Seguridad!$B$5),OR(Seguridad!$E$5="Ambos",D130=Seguridad!$E$5),OR(Seguridad!$M$5="Todas",B130=Seguridad!$M$5)),1,0)</f>
        <v>0</v>
      </c>
    </row>
    <row r="131" spans="1:13">
      <c r="A131" s="5">
        <v>46283</v>
      </c>
      <c r="B131" t="s">
        <v>35</v>
      </c>
      <c r="C131" t="s">
        <v>36</v>
      </c>
      <c r="D131" t="s">
        <v>81</v>
      </c>
      <c r="E131">
        <v>151</v>
      </c>
      <c r="F131">
        <v>7.9</v>
      </c>
      <c r="G131">
        <v>5.2140000000000004</v>
      </c>
      <c r="H131">
        <v>0</v>
      </c>
      <c r="I131">
        <v>0</v>
      </c>
      <c r="J131">
        <v>0</v>
      </c>
      <c r="K131">
        <v>6</v>
      </c>
      <c r="L131">
        <v>0</v>
      </c>
      <c r="M131">
        <f>IF(AND(A131&gt;=Seguridad!$H$5,A131&lt;=Seguridad!$J$5,OR(Seguridad!$B$5="Todas",C131=Seguridad!$B$5),OR(Seguridad!$E$5="Ambos",D131=Seguridad!$E$5),OR(Seguridad!$M$5="Todas",B131=Seguridad!$M$5)),1,0)</f>
        <v>0</v>
      </c>
    </row>
    <row r="132" spans="1:13">
      <c r="A132" s="5">
        <v>46283</v>
      </c>
      <c r="B132" t="s">
        <v>35</v>
      </c>
      <c r="C132" t="s">
        <v>36</v>
      </c>
      <c r="D132" t="s">
        <v>84</v>
      </c>
      <c r="E132">
        <v>107</v>
      </c>
      <c r="F132">
        <v>6.5</v>
      </c>
      <c r="G132">
        <v>3.7050000000000005</v>
      </c>
      <c r="H132">
        <v>0</v>
      </c>
      <c r="I132">
        <v>0</v>
      </c>
      <c r="J132">
        <v>0</v>
      </c>
      <c r="K132">
        <v>2</v>
      </c>
      <c r="L132">
        <v>0</v>
      </c>
      <c r="M132">
        <f>IF(AND(A132&gt;=Seguridad!$H$5,A132&lt;=Seguridad!$J$5,OR(Seguridad!$B$5="Todas",C132=Seguridad!$B$5),OR(Seguridad!$E$5="Ambos",D132=Seguridad!$E$5),OR(Seguridad!$M$5="Todas",B132=Seguridad!$M$5)),1,0)</f>
        <v>0</v>
      </c>
    </row>
    <row r="133" spans="1:13">
      <c r="A133" s="5">
        <v>46284</v>
      </c>
      <c r="B133" t="s">
        <v>35</v>
      </c>
      <c r="C133" t="s">
        <v>36</v>
      </c>
      <c r="D133" t="s">
        <v>81</v>
      </c>
      <c r="E133">
        <v>94</v>
      </c>
      <c r="F133">
        <v>6.1</v>
      </c>
      <c r="G133">
        <v>3.2330000000000001</v>
      </c>
      <c r="H133">
        <v>0</v>
      </c>
      <c r="I133">
        <v>0</v>
      </c>
      <c r="J133">
        <v>0</v>
      </c>
      <c r="K133">
        <v>3</v>
      </c>
      <c r="L133">
        <v>0</v>
      </c>
      <c r="M133">
        <f>IF(AND(A133&gt;=Seguridad!$H$5,A133&lt;=Seguridad!$J$5,OR(Seguridad!$B$5="Todas",C133=Seguridad!$B$5),OR(Seguridad!$E$5="Ambos",D133=Seguridad!$E$5),OR(Seguridad!$M$5="Todas",B133=Seguridad!$M$5)),1,0)</f>
        <v>0</v>
      </c>
    </row>
    <row r="134" spans="1:13">
      <c r="A134" s="5">
        <v>46284</v>
      </c>
      <c r="B134" t="s">
        <v>35</v>
      </c>
      <c r="C134" t="s">
        <v>36</v>
      </c>
      <c r="D134" t="s">
        <v>84</v>
      </c>
      <c r="E134">
        <v>134</v>
      </c>
      <c r="F134">
        <v>7.2</v>
      </c>
      <c r="G134">
        <v>4.6080000000000005</v>
      </c>
      <c r="H134">
        <v>1</v>
      </c>
      <c r="I134">
        <v>0</v>
      </c>
      <c r="J134">
        <v>0</v>
      </c>
      <c r="K134">
        <v>4</v>
      </c>
      <c r="L134">
        <v>0</v>
      </c>
      <c r="M134">
        <f>IF(AND(A134&gt;=Seguridad!$H$5,A134&lt;=Seguridad!$J$5,OR(Seguridad!$B$5="Todas",C134=Seguridad!$B$5),OR(Seguridad!$E$5="Ambos",D134=Seguridad!$E$5),OR(Seguridad!$M$5="Todas",B134=Seguridad!$M$5)),1,0)</f>
        <v>0</v>
      </c>
    </row>
    <row r="135" spans="1:13">
      <c r="A135" s="5">
        <v>46285</v>
      </c>
      <c r="B135" t="s">
        <v>35</v>
      </c>
      <c r="C135" t="s">
        <v>36</v>
      </c>
      <c r="D135" t="s">
        <v>81</v>
      </c>
      <c r="E135">
        <v>118</v>
      </c>
      <c r="F135">
        <v>6.8</v>
      </c>
      <c r="G135">
        <v>4.08</v>
      </c>
      <c r="H135">
        <v>1</v>
      </c>
      <c r="I135">
        <v>1</v>
      </c>
      <c r="J135">
        <v>0</v>
      </c>
      <c r="K135">
        <v>5</v>
      </c>
      <c r="L135">
        <v>0</v>
      </c>
      <c r="M135">
        <f>IF(AND(A135&gt;=Seguridad!$H$5,A135&lt;=Seguridad!$J$5,OR(Seguridad!$B$5="Todas",C135=Seguridad!$B$5),OR(Seguridad!$E$5="Ambos",D135=Seguridad!$E$5),OR(Seguridad!$M$5="Todas",B135=Seguridad!$M$5)),1,0)</f>
        <v>0</v>
      </c>
    </row>
    <row r="136" spans="1:13">
      <c r="A136" s="5">
        <v>46285</v>
      </c>
      <c r="B136" t="s">
        <v>35</v>
      </c>
      <c r="C136" t="s">
        <v>36</v>
      </c>
      <c r="D136" t="s">
        <v>84</v>
      </c>
      <c r="E136">
        <v>163</v>
      </c>
      <c r="F136">
        <v>7.9</v>
      </c>
      <c r="G136">
        <v>5.609</v>
      </c>
      <c r="H136">
        <v>0</v>
      </c>
      <c r="I136">
        <v>0</v>
      </c>
      <c r="J136">
        <v>0</v>
      </c>
      <c r="K136">
        <v>6</v>
      </c>
      <c r="L136">
        <v>0</v>
      </c>
      <c r="M136">
        <f>IF(AND(A136&gt;=Seguridad!$H$5,A136&lt;=Seguridad!$J$5,OR(Seguridad!$B$5="Todas",C136=Seguridad!$B$5),OR(Seguridad!$E$5="Ambos",D136=Seguridad!$E$5),OR(Seguridad!$M$5="Todas",B136=Seguridad!$M$5)),1,0)</f>
        <v>0</v>
      </c>
    </row>
    <row r="137" spans="1:13">
      <c r="A137" s="5">
        <v>46286</v>
      </c>
      <c r="B137" t="s">
        <v>35</v>
      </c>
      <c r="C137" t="s">
        <v>36</v>
      </c>
      <c r="D137" t="s">
        <v>81</v>
      </c>
      <c r="E137">
        <v>146</v>
      </c>
      <c r="F137">
        <v>7.5</v>
      </c>
      <c r="G137">
        <v>5.0250000000000004</v>
      </c>
      <c r="H137">
        <v>0</v>
      </c>
      <c r="I137">
        <v>0</v>
      </c>
      <c r="J137">
        <v>0</v>
      </c>
      <c r="K137">
        <v>2</v>
      </c>
      <c r="L137">
        <v>0</v>
      </c>
      <c r="M137">
        <f>IF(AND(A137&gt;=Seguridad!$H$5,A137&lt;=Seguridad!$J$5,OR(Seguridad!$B$5="Todas",C137=Seguridad!$B$5),OR(Seguridad!$E$5="Ambos",D137=Seguridad!$E$5),OR(Seguridad!$M$5="Todas",B137=Seguridad!$M$5)),1,0)</f>
        <v>0</v>
      </c>
    </row>
    <row r="138" spans="1:13">
      <c r="A138" s="5">
        <v>46286</v>
      </c>
      <c r="B138" t="s">
        <v>35</v>
      </c>
      <c r="C138" t="s">
        <v>36</v>
      </c>
      <c r="D138" t="s">
        <v>84</v>
      </c>
      <c r="E138">
        <v>103</v>
      </c>
      <c r="F138">
        <v>6.1</v>
      </c>
      <c r="G138">
        <v>3.5380000000000003</v>
      </c>
      <c r="H138">
        <v>0</v>
      </c>
      <c r="I138">
        <v>0</v>
      </c>
      <c r="J138">
        <v>0</v>
      </c>
      <c r="K138">
        <v>3</v>
      </c>
      <c r="L138">
        <v>0</v>
      </c>
      <c r="M138">
        <f>IF(AND(A138&gt;=Seguridad!$H$5,A138&lt;=Seguridad!$J$5,OR(Seguridad!$B$5="Todas",C138=Seguridad!$B$5),OR(Seguridad!$E$5="Ambos",D138=Seguridad!$E$5),OR(Seguridad!$M$5="Todas",B138=Seguridad!$M$5)),1,0)</f>
        <v>0</v>
      </c>
    </row>
    <row r="139" spans="1:13">
      <c r="A139" s="5">
        <v>46287</v>
      </c>
      <c r="B139" t="s">
        <v>35</v>
      </c>
      <c r="C139" t="s">
        <v>36</v>
      </c>
      <c r="D139" t="s">
        <v>81</v>
      </c>
      <c r="E139">
        <v>128</v>
      </c>
      <c r="F139">
        <v>8.1999999999999993</v>
      </c>
      <c r="G139">
        <v>4.4279999999999999</v>
      </c>
      <c r="H139">
        <v>0</v>
      </c>
      <c r="I139">
        <v>0</v>
      </c>
      <c r="J139">
        <v>0</v>
      </c>
      <c r="K139">
        <v>4</v>
      </c>
      <c r="L139">
        <v>0</v>
      </c>
      <c r="M139">
        <f>IF(AND(A139&gt;=Seguridad!$H$5,A139&lt;=Seguridad!$J$5,OR(Seguridad!$B$5="Todas",C139=Seguridad!$B$5),OR(Seguridad!$E$5="Ambos",D139=Seguridad!$E$5),OR(Seguridad!$M$5="Todas",B139=Seguridad!$M$5)),1,0)</f>
        <v>0</v>
      </c>
    </row>
    <row r="140" spans="1:13">
      <c r="A140" s="5">
        <v>46287</v>
      </c>
      <c r="B140" t="s">
        <v>35</v>
      </c>
      <c r="C140" t="s">
        <v>36</v>
      </c>
      <c r="D140" t="s">
        <v>84</v>
      </c>
      <c r="E140">
        <v>128</v>
      </c>
      <c r="F140">
        <v>6.8</v>
      </c>
      <c r="G140">
        <v>4.42</v>
      </c>
      <c r="H140">
        <v>0</v>
      </c>
      <c r="I140">
        <v>0</v>
      </c>
      <c r="J140">
        <v>0</v>
      </c>
      <c r="K140">
        <v>5</v>
      </c>
      <c r="L140">
        <v>0</v>
      </c>
      <c r="M140">
        <f>IF(AND(A140&gt;=Seguridad!$H$5,A140&lt;=Seguridad!$J$5,OR(Seguridad!$B$5="Todas",C140=Seguridad!$B$5),OR(Seguridad!$E$5="Ambos",D140=Seguridad!$E$5),OR(Seguridad!$M$5="Todas",B140=Seguridad!$M$5)),1,0)</f>
        <v>0</v>
      </c>
    </row>
    <row r="141" spans="1:13">
      <c r="A141" s="5">
        <v>46288</v>
      </c>
      <c r="B141" t="s">
        <v>35</v>
      </c>
      <c r="C141" t="s">
        <v>36</v>
      </c>
      <c r="D141" t="s">
        <v>81</v>
      </c>
      <c r="E141">
        <v>113</v>
      </c>
      <c r="F141">
        <v>6.4</v>
      </c>
      <c r="G141">
        <v>3.9039999999999999</v>
      </c>
      <c r="H141">
        <v>0</v>
      </c>
      <c r="I141">
        <v>0</v>
      </c>
      <c r="J141">
        <v>0</v>
      </c>
      <c r="K141">
        <v>6</v>
      </c>
      <c r="L141">
        <v>0</v>
      </c>
      <c r="M141">
        <f>IF(AND(A141&gt;=Seguridad!$H$5,A141&lt;=Seguridad!$J$5,OR(Seguridad!$B$5="Todas",C141=Seguridad!$B$5),OR(Seguridad!$E$5="Ambos",D141=Seguridad!$E$5),OR(Seguridad!$M$5="Todas",B141=Seguridad!$M$5)),1,0)</f>
        <v>0</v>
      </c>
    </row>
    <row r="142" spans="1:13">
      <c r="A142" s="5">
        <v>46288</v>
      </c>
      <c r="B142" t="s">
        <v>35</v>
      </c>
      <c r="C142" t="s">
        <v>36</v>
      </c>
      <c r="D142" t="s">
        <v>84</v>
      </c>
      <c r="E142">
        <v>113</v>
      </c>
      <c r="F142">
        <v>7.5</v>
      </c>
      <c r="G142">
        <v>3.9000000000000004</v>
      </c>
      <c r="H142">
        <v>1</v>
      </c>
      <c r="I142">
        <v>0</v>
      </c>
      <c r="J142">
        <v>0</v>
      </c>
      <c r="K142">
        <v>2</v>
      </c>
      <c r="L142">
        <v>0</v>
      </c>
      <c r="M142">
        <f>IF(AND(A142&gt;=Seguridad!$H$5,A142&lt;=Seguridad!$J$5,OR(Seguridad!$B$5="Todas",C142=Seguridad!$B$5),OR(Seguridad!$E$5="Ambos",D142=Seguridad!$E$5),OR(Seguridad!$M$5="Todas",B142=Seguridad!$M$5)),1,0)</f>
        <v>0</v>
      </c>
    </row>
    <row r="143" spans="1:13">
      <c r="A143" s="5">
        <v>46289</v>
      </c>
      <c r="B143" t="s">
        <v>35</v>
      </c>
      <c r="C143" t="s">
        <v>36</v>
      </c>
      <c r="D143" t="s">
        <v>81</v>
      </c>
      <c r="E143">
        <v>140</v>
      </c>
      <c r="F143">
        <v>7.1</v>
      </c>
      <c r="G143">
        <v>4.8280000000000003</v>
      </c>
      <c r="H143">
        <v>1</v>
      </c>
      <c r="I143">
        <v>0</v>
      </c>
      <c r="J143">
        <v>0</v>
      </c>
      <c r="K143">
        <v>3</v>
      </c>
      <c r="L143">
        <v>0</v>
      </c>
      <c r="M143">
        <f>IF(AND(A143&gt;=Seguridad!$H$5,A143&lt;=Seguridad!$J$5,OR(Seguridad!$B$5="Todas",C143=Seguridad!$B$5),OR(Seguridad!$E$5="Ambos",D143=Seguridad!$E$5),OR(Seguridad!$M$5="Todas",B143=Seguridad!$M$5)),1,0)</f>
        <v>0</v>
      </c>
    </row>
    <row r="144" spans="1:13">
      <c r="A144" s="5">
        <v>46289</v>
      </c>
      <c r="B144" t="s">
        <v>35</v>
      </c>
      <c r="C144" t="s">
        <v>36</v>
      </c>
      <c r="D144" t="s">
        <v>84</v>
      </c>
      <c r="E144">
        <v>140</v>
      </c>
      <c r="F144">
        <v>8.1999999999999993</v>
      </c>
      <c r="G144">
        <v>4.8380000000000001</v>
      </c>
      <c r="H144">
        <v>0</v>
      </c>
      <c r="I144">
        <v>1</v>
      </c>
      <c r="J144">
        <v>1</v>
      </c>
      <c r="K144">
        <v>4</v>
      </c>
      <c r="L144">
        <v>0</v>
      </c>
      <c r="M144">
        <f>IF(AND(A144&gt;=Seguridad!$H$5,A144&lt;=Seguridad!$J$5,OR(Seguridad!$B$5="Todas",C144=Seguridad!$B$5),OR(Seguridad!$E$5="Ambos",D144=Seguridad!$E$5),OR(Seguridad!$M$5="Todas",B144=Seguridad!$M$5)),1,0)</f>
        <v>0</v>
      </c>
    </row>
    <row r="145" spans="1:13">
      <c r="A145" s="5">
        <v>46276</v>
      </c>
      <c r="B145" t="s">
        <v>37</v>
      </c>
      <c r="C145" t="s">
        <v>36</v>
      </c>
      <c r="D145" t="s">
        <v>81</v>
      </c>
      <c r="E145">
        <v>113</v>
      </c>
      <c r="F145">
        <v>7.2</v>
      </c>
      <c r="G145">
        <v>3.8880000000000003</v>
      </c>
      <c r="H145">
        <v>0</v>
      </c>
      <c r="I145">
        <v>0</v>
      </c>
      <c r="J145">
        <v>0</v>
      </c>
      <c r="K145">
        <v>4</v>
      </c>
      <c r="L145">
        <v>0</v>
      </c>
      <c r="M145">
        <f>IF(AND(A145&gt;=Seguridad!$H$5,A145&lt;=Seguridad!$J$5,OR(Seguridad!$B$5="Todas",C145=Seguridad!$B$5),OR(Seguridad!$E$5="Ambos",D145=Seguridad!$E$5),OR(Seguridad!$M$5="Todas",B145=Seguridad!$M$5)),1,0)</f>
        <v>0</v>
      </c>
    </row>
    <row r="146" spans="1:13">
      <c r="A146" s="5">
        <v>46276</v>
      </c>
      <c r="B146" t="s">
        <v>37</v>
      </c>
      <c r="C146" t="s">
        <v>36</v>
      </c>
      <c r="D146" t="s">
        <v>84</v>
      </c>
      <c r="E146">
        <v>156</v>
      </c>
      <c r="F146">
        <v>8.3000000000000007</v>
      </c>
      <c r="G146">
        <v>5.3950000000000005</v>
      </c>
      <c r="H146">
        <v>0</v>
      </c>
      <c r="I146">
        <v>0</v>
      </c>
      <c r="J146">
        <v>0</v>
      </c>
      <c r="K146">
        <v>5</v>
      </c>
      <c r="L146">
        <v>0</v>
      </c>
      <c r="M146">
        <f>IF(AND(A146&gt;=Seguridad!$H$5,A146&lt;=Seguridad!$J$5,OR(Seguridad!$B$5="Todas",C146=Seguridad!$B$5),OR(Seguridad!$E$5="Ambos",D146=Seguridad!$E$5),OR(Seguridad!$M$5="Todas",B146=Seguridad!$M$5)),1,0)</f>
        <v>0</v>
      </c>
    </row>
    <row r="147" spans="1:13">
      <c r="A147" s="5">
        <v>46277</v>
      </c>
      <c r="B147" t="s">
        <v>37</v>
      </c>
      <c r="C147" t="s">
        <v>36</v>
      </c>
      <c r="D147" t="s">
        <v>81</v>
      </c>
      <c r="E147">
        <v>140</v>
      </c>
      <c r="F147">
        <v>7.9</v>
      </c>
      <c r="G147">
        <v>4.819</v>
      </c>
      <c r="H147">
        <v>0</v>
      </c>
      <c r="I147">
        <v>1</v>
      </c>
      <c r="J147">
        <v>0</v>
      </c>
      <c r="K147">
        <v>6</v>
      </c>
      <c r="L147">
        <v>0</v>
      </c>
      <c r="M147">
        <f>IF(AND(A147&gt;=Seguridad!$H$5,A147&lt;=Seguridad!$J$5,OR(Seguridad!$B$5="Todas",C147=Seguridad!$B$5),OR(Seguridad!$E$5="Ambos",D147=Seguridad!$E$5),OR(Seguridad!$M$5="Todas",B147=Seguridad!$M$5)),1,0)</f>
        <v>0</v>
      </c>
    </row>
    <row r="148" spans="1:13">
      <c r="A148" s="5">
        <v>46277</v>
      </c>
      <c r="B148" t="s">
        <v>37</v>
      </c>
      <c r="C148" t="s">
        <v>36</v>
      </c>
      <c r="D148" t="s">
        <v>84</v>
      </c>
      <c r="E148">
        <v>98</v>
      </c>
      <c r="F148">
        <v>6.5</v>
      </c>
      <c r="G148">
        <v>3.38</v>
      </c>
      <c r="H148">
        <v>1</v>
      </c>
      <c r="I148">
        <v>0</v>
      </c>
      <c r="J148">
        <v>0</v>
      </c>
      <c r="K148">
        <v>2</v>
      </c>
      <c r="L148">
        <v>0</v>
      </c>
      <c r="M148">
        <f>IF(AND(A148&gt;=Seguridad!$H$5,A148&lt;=Seguridad!$J$5,OR(Seguridad!$B$5="Todas",C148=Seguridad!$B$5),OR(Seguridad!$E$5="Ambos",D148=Seguridad!$E$5),OR(Seguridad!$M$5="Todas",B148=Seguridad!$M$5)),1,0)</f>
        <v>0</v>
      </c>
    </row>
    <row r="149" spans="1:13">
      <c r="A149" s="5">
        <v>46278</v>
      </c>
      <c r="B149" t="s">
        <v>37</v>
      </c>
      <c r="C149" t="s">
        <v>36</v>
      </c>
      <c r="D149" t="s">
        <v>81</v>
      </c>
      <c r="E149">
        <v>120</v>
      </c>
      <c r="F149">
        <v>6.1</v>
      </c>
      <c r="G149">
        <v>4.1479999999999997</v>
      </c>
      <c r="H149">
        <v>1</v>
      </c>
      <c r="I149">
        <v>0</v>
      </c>
      <c r="J149">
        <v>0</v>
      </c>
      <c r="K149">
        <v>3</v>
      </c>
      <c r="L149">
        <v>0</v>
      </c>
      <c r="M149">
        <f>IF(AND(A149&gt;=Seguridad!$H$5,A149&lt;=Seguridad!$J$5,OR(Seguridad!$B$5="Todas",C149=Seguridad!$B$5),OR(Seguridad!$E$5="Ambos",D149=Seguridad!$E$5),OR(Seguridad!$M$5="Todas",B149=Seguridad!$M$5)),1,0)</f>
        <v>0</v>
      </c>
    </row>
    <row r="150" spans="1:13">
      <c r="A150" s="5">
        <v>46278</v>
      </c>
      <c r="B150" t="s">
        <v>37</v>
      </c>
      <c r="C150" t="s">
        <v>36</v>
      </c>
      <c r="D150" t="s">
        <v>84</v>
      </c>
      <c r="E150">
        <v>123</v>
      </c>
      <c r="F150">
        <v>7.2</v>
      </c>
      <c r="G150">
        <v>4.2480000000000011</v>
      </c>
      <c r="H150">
        <v>0</v>
      </c>
      <c r="I150">
        <v>0</v>
      </c>
      <c r="J150">
        <v>0</v>
      </c>
      <c r="K150">
        <v>4</v>
      </c>
      <c r="L150">
        <v>0</v>
      </c>
      <c r="M150">
        <f>IF(AND(A150&gt;=Seguridad!$H$5,A150&lt;=Seguridad!$J$5,OR(Seguridad!$B$5="Todas",C150=Seguridad!$B$5),OR(Seguridad!$E$5="Ambos",D150=Seguridad!$E$5),OR(Seguridad!$M$5="Todas",B150=Seguridad!$M$5)),1,0)</f>
        <v>0</v>
      </c>
    </row>
    <row r="151" spans="1:13">
      <c r="A151" s="5">
        <v>46279</v>
      </c>
      <c r="B151" t="s">
        <v>37</v>
      </c>
      <c r="C151" t="s">
        <v>36</v>
      </c>
      <c r="D151" t="s">
        <v>81</v>
      </c>
      <c r="E151">
        <v>108</v>
      </c>
      <c r="F151">
        <v>6.8</v>
      </c>
      <c r="G151">
        <v>3.74</v>
      </c>
      <c r="H151">
        <v>0</v>
      </c>
      <c r="I151">
        <v>0</v>
      </c>
      <c r="J151">
        <v>0</v>
      </c>
      <c r="K151">
        <v>5</v>
      </c>
      <c r="L151">
        <v>0</v>
      </c>
      <c r="M151">
        <f>IF(AND(A151&gt;=Seguridad!$H$5,A151&lt;=Seguridad!$J$5,OR(Seguridad!$B$5="Todas",C151=Seguridad!$B$5),OR(Seguridad!$E$5="Ambos",D151=Seguridad!$E$5),OR(Seguridad!$M$5="Todas",B151=Seguridad!$M$5)),1,0)</f>
        <v>0</v>
      </c>
    </row>
    <row r="152" spans="1:13">
      <c r="A152" s="5">
        <v>46279</v>
      </c>
      <c r="B152" t="s">
        <v>37</v>
      </c>
      <c r="C152" t="s">
        <v>36</v>
      </c>
      <c r="D152" t="s">
        <v>84</v>
      </c>
      <c r="E152">
        <v>151</v>
      </c>
      <c r="F152">
        <v>7.9</v>
      </c>
      <c r="G152">
        <v>5.2140000000000004</v>
      </c>
      <c r="H152">
        <v>0</v>
      </c>
      <c r="I152">
        <v>0</v>
      </c>
      <c r="J152">
        <v>0</v>
      </c>
      <c r="K152">
        <v>6</v>
      </c>
      <c r="L152">
        <v>0</v>
      </c>
      <c r="M152">
        <f>IF(AND(A152&gt;=Seguridad!$H$5,A152&lt;=Seguridad!$J$5,OR(Seguridad!$B$5="Todas",C152=Seguridad!$B$5),OR(Seguridad!$E$5="Ambos",D152=Seguridad!$E$5),OR(Seguridad!$M$5="Todas",B152=Seguridad!$M$5)),1,0)</f>
        <v>0</v>
      </c>
    </row>
    <row r="153" spans="1:13">
      <c r="A153" s="5">
        <v>46280</v>
      </c>
      <c r="B153" t="s">
        <v>37</v>
      </c>
      <c r="C153" t="s">
        <v>36</v>
      </c>
      <c r="D153" t="s">
        <v>81</v>
      </c>
      <c r="E153">
        <v>135</v>
      </c>
      <c r="F153">
        <v>7.5</v>
      </c>
      <c r="G153">
        <v>4.6500000000000004</v>
      </c>
      <c r="H153">
        <v>0</v>
      </c>
      <c r="I153">
        <v>0</v>
      </c>
      <c r="J153">
        <v>1</v>
      </c>
      <c r="K153">
        <v>2</v>
      </c>
      <c r="L153">
        <v>0</v>
      </c>
      <c r="M153">
        <f>IF(AND(A153&gt;=Seguridad!$H$5,A153&lt;=Seguridad!$J$5,OR(Seguridad!$B$5="Todas",C153=Seguridad!$B$5),OR(Seguridad!$E$5="Ambos",D153=Seguridad!$E$5),OR(Seguridad!$M$5="Todas",B153=Seguridad!$M$5)),1,0)</f>
        <v>0</v>
      </c>
    </row>
    <row r="154" spans="1:13">
      <c r="A154" s="5">
        <v>46280</v>
      </c>
      <c r="B154" t="s">
        <v>37</v>
      </c>
      <c r="C154" t="s">
        <v>36</v>
      </c>
      <c r="D154" t="s">
        <v>84</v>
      </c>
      <c r="E154">
        <v>94</v>
      </c>
      <c r="F154">
        <v>6.1</v>
      </c>
      <c r="G154">
        <v>3.2330000000000001</v>
      </c>
      <c r="H154">
        <v>0</v>
      </c>
      <c r="I154">
        <v>0</v>
      </c>
      <c r="J154">
        <v>0</v>
      </c>
      <c r="K154">
        <v>3</v>
      </c>
      <c r="L154">
        <v>0</v>
      </c>
      <c r="M154">
        <f>IF(AND(A154&gt;=Seguridad!$H$5,A154&lt;=Seguridad!$J$5,OR(Seguridad!$B$5="Todas",C154=Seguridad!$B$5),OR(Seguridad!$E$5="Ambos",D154=Seguridad!$E$5),OR(Seguridad!$M$5="Todas",B154=Seguridad!$M$5)),1,0)</f>
        <v>0</v>
      </c>
    </row>
    <row r="155" spans="1:13">
      <c r="A155" s="5">
        <v>46281</v>
      </c>
      <c r="B155" t="s">
        <v>37</v>
      </c>
      <c r="C155" t="s">
        <v>36</v>
      </c>
      <c r="D155" t="s">
        <v>81</v>
      </c>
      <c r="E155">
        <v>164</v>
      </c>
      <c r="F155">
        <v>8.1999999999999993</v>
      </c>
      <c r="G155">
        <v>5.6580000000000004</v>
      </c>
      <c r="H155">
        <v>0</v>
      </c>
      <c r="I155">
        <v>0</v>
      </c>
      <c r="J155">
        <v>0</v>
      </c>
      <c r="K155">
        <v>4</v>
      </c>
      <c r="L155">
        <v>0</v>
      </c>
      <c r="M155">
        <f>IF(AND(A155&gt;=Seguridad!$H$5,A155&lt;=Seguridad!$J$5,OR(Seguridad!$B$5="Todas",C155=Seguridad!$B$5),OR(Seguridad!$E$5="Ambos",D155=Seguridad!$E$5),OR(Seguridad!$M$5="Todas",B155=Seguridad!$M$5)),1,0)</f>
        <v>0</v>
      </c>
    </row>
    <row r="156" spans="1:13">
      <c r="A156" s="5">
        <v>46281</v>
      </c>
      <c r="B156" t="s">
        <v>37</v>
      </c>
      <c r="C156" t="s">
        <v>36</v>
      </c>
      <c r="D156" t="s">
        <v>84</v>
      </c>
      <c r="E156">
        <v>118</v>
      </c>
      <c r="F156">
        <v>6.8</v>
      </c>
      <c r="G156">
        <v>4.08</v>
      </c>
      <c r="H156">
        <v>1</v>
      </c>
      <c r="I156">
        <v>1</v>
      </c>
      <c r="J156">
        <v>0</v>
      </c>
      <c r="K156">
        <v>5</v>
      </c>
      <c r="L156">
        <v>0</v>
      </c>
      <c r="M156">
        <f>IF(AND(A156&gt;=Seguridad!$H$5,A156&lt;=Seguridad!$J$5,OR(Seguridad!$B$5="Todas",C156=Seguridad!$B$5),OR(Seguridad!$E$5="Ambos",D156=Seguridad!$E$5),OR(Seguridad!$M$5="Todas",B156=Seguridad!$M$5)),1,0)</f>
        <v>0</v>
      </c>
    </row>
    <row r="157" spans="1:13">
      <c r="A157" s="5">
        <v>46282</v>
      </c>
      <c r="B157" t="s">
        <v>37</v>
      </c>
      <c r="C157" t="s">
        <v>36</v>
      </c>
      <c r="D157" t="s">
        <v>81</v>
      </c>
      <c r="E157">
        <v>104</v>
      </c>
      <c r="F157">
        <v>6.4</v>
      </c>
      <c r="G157">
        <v>3.5840000000000005</v>
      </c>
      <c r="H157">
        <v>1</v>
      </c>
      <c r="I157">
        <v>0</v>
      </c>
      <c r="J157">
        <v>0</v>
      </c>
      <c r="K157">
        <v>6</v>
      </c>
      <c r="L157">
        <v>0</v>
      </c>
      <c r="M157">
        <f>IF(AND(A157&gt;=Seguridad!$H$5,A157&lt;=Seguridad!$J$5,OR(Seguridad!$B$5="Todas",C157=Seguridad!$B$5),OR(Seguridad!$E$5="Ambos",D157=Seguridad!$E$5),OR(Seguridad!$M$5="Todas",B157=Seguridad!$M$5)),1,0)</f>
        <v>0</v>
      </c>
    </row>
    <row r="158" spans="1:13">
      <c r="A158" s="5">
        <v>46282</v>
      </c>
      <c r="B158" t="s">
        <v>37</v>
      </c>
      <c r="C158" t="s">
        <v>36</v>
      </c>
      <c r="D158" t="s">
        <v>84</v>
      </c>
      <c r="E158">
        <v>146</v>
      </c>
      <c r="F158">
        <v>7.5</v>
      </c>
      <c r="G158">
        <v>5.0250000000000004</v>
      </c>
      <c r="H158">
        <v>0</v>
      </c>
      <c r="I158">
        <v>0</v>
      </c>
      <c r="J158">
        <v>0</v>
      </c>
      <c r="K158">
        <v>2</v>
      </c>
      <c r="L158">
        <v>0</v>
      </c>
      <c r="M158">
        <f>IF(AND(A158&gt;=Seguridad!$H$5,A158&lt;=Seguridad!$J$5,OR(Seguridad!$B$5="Todas",C158=Seguridad!$B$5),OR(Seguridad!$E$5="Ambos",D158=Seguridad!$E$5),OR(Seguridad!$M$5="Todas",B158=Seguridad!$M$5)),1,0)</f>
        <v>0</v>
      </c>
    </row>
    <row r="159" spans="1:13">
      <c r="A159" s="5">
        <v>46283</v>
      </c>
      <c r="B159" t="s">
        <v>37</v>
      </c>
      <c r="C159" t="s">
        <v>36</v>
      </c>
      <c r="D159" t="s">
        <v>81</v>
      </c>
      <c r="E159">
        <v>130</v>
      </c>
      <c r="F159">
        <v>7.1</v>
      </c>
      <c r="G159">
        <v>4.4729999999999999</v>
      </c>
      <c r="H159">
        <v>0</v>
      </c>
      <c r="I159">
        <v>0</v>
      </c>
      <c r="J159">
        <v>0</v>
      </c>
      <c r="K159">
        <v>3</v>
      </c>
      <c r="L159">
        <v>0</v>
      </c>
      <c r="M159">
        <f>IF(AND(A159&gt;=Seguridad!$H$5,A159&lt;=Seguridad!$J$5,OR(Seguridad!$B$5="Todas",C159=Seguridad!$B$5),OR(Seguridad!$E$5="Ambos",D159=Seguridad!$E$5),OR(Seguridad!$M$5="Todas",B159=Seguridad!$M$5)),1,0)</f>
        <v>0</v>
      </c>
    </row>
    <row r="160" spans="1:13">
      <c r="A160" s="5">
        <v>46283</v>
      </c>
      <c r="B160" t="s">
        <v>37</v>
      </c>
      <c r="C160" t="s">
        <v>36</v>
      </c>
      <c r="D160" t="s">
        <v>84</v>
      </c>
      <c r="E160">
        <v>128</v>
      </c>
      <c r="F160">
        <v>8.1999999999999993</v>
      </c>
      <c r="G160">
        <v>4.4279999999999999</v>
      </c>
      <c r="H160">
        <v>0</v>
      </c>
      <c r="I160">
        <v>0</v>
      </c>
      <c r="J160">
        <v>0</v>
      </c>
      <c r="K160">
        <v>4</v>
      </c>
      <c r="L160">
        <v>0</v>
      </c>
      <c r="M160">
        <f>IF(AND(A160&gt;=Seguridad!$H$5,A160&lt;=Seguridad!$J$5,OR(Seguridad!$B$5="Todas",C160=Seguridad!$B$5),OR(Seguridad!$E$5="Ambos",D160=Seguridad!$E$5),OR(Seguridad!$M$5="Todas",B160=Seguridad!$M$5)),1,0)</f>
        <v>0</v>
      </c>
    </row>
    <row r="161" spans="1:13">
      <c r="A161" s="5">
        <v>46284</v>
      </c>
      <c r="B161" t="s">
        <v>37</v>
      </c>
      <c r="C161" t="s">
        <v>36</v>
      </c>
      <c r="D161" t="s">
        <v>81</v>
      </c>
      <c r="E161">
        <v>158</v>
      </c>
      <c r="F161">
        <v>7.8</v>
      </c>
      <c r="G161">
        <v>5.46</v>
      </c>
      <c r="H161">
        <v>0</v>
      </c>
      <c r="I161">
        <v>0</v>
      </c>
      <c r="J161">
        <v>0</v>
      </c>
      <c r="K161">
        <v>5</v>
      </c>
      <c r="L161">
        <v>0</v>
      </c>
      <c r="M161">
        <f>IF(AND(A161&gt;=Seguridad!$H$5,A161&lt;=Seguridad!$J$5,OR(Seguridad!$B$5="Todas",C161=Seguridad!$B$5),OR(Seguridad!$E$5="Ambos",D161=Seguridad!$E$5),OR(Seguridad!$M$5="Todas",B161=Seguridad!$M$5)),1,0)</f>
        <v>0</v>
      </c>
    </row>
    <row r="162" spans="1:13">
      <c r="A162" s="5">
        <v>46284</v>
      </c>
      <c r="B162" t="s">
        <v>37</v>
      </c>
      <c r="C162" t="s">
        <v>36</v>
      </c>
      <c r="D162" t="s">
        <v>84</v>
      </c>
      <c r="E162">
        <v>113</v>
      </c>
      <c r="F162">
        <v>6.4</v>
      </c>
      <c r="G162">
        <v>3.9039999999999999</v>
      </c>
      <c r="H162">
        <v>0</v>
      </c>
      <c r="I162">
        <v>0</v>
      </c>
      <c r="J162">
        <v>0</v>
      </c>
      <c r="K162">
        <v>6</v>
      </c>
      <c r="L162">
        <v>0</v>
      </c>
      <c r="M162">
        <f>IF(AND(A162&gt;=Seguridad!$H$5,A162&lt;=Seguridad!$J$5,OR(Seguridad!$B$5="Todas",C162=Seguridad!$B$5),OR(Seguridad!$E$5="Ambos",D162=Seguridad!$E$5),OR(Seguridad!$M$5="Todas",B162=Seguridad!$M$5)),1,0)</f>
        <v>0</v>
      </c>
    </row>
    <row r="163" spans="1:13">
      <c r="A163" s="5">
        <v>46285</v>
      </c>
      <c r="B163" t="s">
        <v>37</v>
      </c>
      <c r="C163" t="s">
        <v>36</v>
      </c>
      <c r="D163" t="s">
        <v>81</v>
      </c>
      <c r="E163">
        <v>99</v>
      </c>
      <c r="F163">
        <v>6</v>
      </c>
      <c r="G163">
        <v>3.4200000000000004</v>
      </c>
      <c r="H163">
        <v>0</v>
      </c>
      <c r="I163">
        <v>0</v>
      </c>
      <c r="J163">
        <v>0</v>
      </c>
      <c r="K163">
        <v>2</v>
      </c>
      <c r="L163">
        <v>0</v>
      </c>
      <c r="M163">
        <f>IF(AND(A163&gt;=Seguridad!$H$5,A163&lt;=Seguridad!$J$5,OR(Seguridad!$B$5="Todas",C163=Seguridad!$B$5),OR(Seguridad!$E$5="Ambos",D163=Seguridad!$E$5),OR(Seguridad!$M$5="Todas",B163=Seguridad!$M$5)),1,0)</f>
        <v>0</v>
      </c>
    </row>
    <row r="164" spans="1:13">
      <c r="A164" s="5">
        <v>46285</v>
      </c>
      <c r="B164" t="s">
        <v>37</v>
      </c>
      <c r="C164" t="s">
        <v>36</v>
      </c>
      <c r="D164" t="s">
        <v>84</v>
      </c>
      <c r="E164">
        <v>140</v>
      </c>
      <c r="F164">
        <v>7.1</v>
      </c>
      <c r="G164">
        <v>4.8280000000000003</v>
      </c>
      <c r="H164">
        <v>1</v>
      </c>
      <c r="I164">
        <v>0</v>
      </c>
      <c r="J164">
        <v>0</v>
      </c>
      <c r="K164">
        <v>3</v>
      </c>
      <c r="L164">
        <v>0</v>
      </c>
      <c r="M164">
        <f>IF(AND(A164&gt;=Seguridad!$H$5,A164&lt;=Seguridad!$J$5,OR(Seguridad!$B$5="Todas",C164=Seguridad!$B$5),OR(Seguridad!$E$5="Ambos",D164=Seguridad!$E$5),OR(Seguridad!$M$5="Todas",B164=Seguridad!$M$5)),1,0)</f>
        <v>0</v>
      </c>
    </row>
    <row r="165" spans="1:13">
      <c r="A165" s="5">
        <v>46286</v>
      </c>
      <c r="B165" t="s">
        <v>37</v>
      </c>
      <c r="C165" t="s">
        <v>36</v>
      </c>
      <c r="D165" t="s">
        <v>81</v>
      </c>
      <c r="E165">
        <v>124</v>
      </c>
      <c r="F165">
        <v>6.7</v>
      </c>
      <c r="G165">
        <v>4.2880000000000003</v>
      </c>
      <c r="H165">
        <v>1</v>
      </c>
      <c r="I165">
        <v>0</v>
      </c>
      <c r="J165">
        <v>0</v>
      </c>
      <c r="K165">
        <v>4</v>
      </c>
      <c r="L165">
        <v>0</v>
      </c>
      <c r="M165">
        <f>IF(AND(A165&gt;=Seguridad!$H$5,A165&lt;=Seguridad!$J$5,OR(Seguridad!$B$5="Todas",C165=Seguridad!$B$5),OR(Seguridad!$E$5="Ambos",D165=Seguridad!$E$5),OR(Seguridad!$M$5="Todas",B165=Seguridad!$M$5)),1,0)</f>
        <v>0</v>
      </c>
    </row>
    <row r="166" spans="1:13">
      <c r="A166" s="5">
        <v>46286</v>
      </c>
      <c r="B166" t="s">
        <v>37</v>
      </c>
      <c r="C166" t="s">
        <v>36</v>
      </c>
      <c r="D166" t="s">
        <v>84</v>
      </c>
      <c r="E166">
        <v>124</v>
      </c>
      <c r="F166">
        <v>7.8</v>
      </c>
      <c r="G166">
        <v>4.29</v>
      </c>
      <c r="H166">
        <v>0</v>
      </c>
      <c r="I166">
        <v>0</v>
      </c>
      <c r="J166">
        <v>0</v>
      </c>
      <c r="K166">
        <v>5</v>
      </c>
      <c r="L166">
        <v>0</v>
      </c>
      <c r="M166">
        <f>IF(AND(A166&gt;=Seguridad!$H$5,A166&lt;=Seguridad!$J$5,OR(Seguridad!$B$5="Todas",C166=Seguridad!$B$5),OR(Seguridad!$E$5="Ambos",D166=Seguridad!$E$5),OR(Seguridad!$M$5="Todas",B166=Seguridad!$M$5)),1,0)</f>
        <v>0</v>
      </c>
    </row>
    <row r="167" spans="1:13">
      <c r="A167" s="5">
        <v>46287</v>
      </c>
      <c r="B167" t="s">
        <v>37</v>
      </c>
      <c r="C167" t="s">
        <v>36</v>
      </c>
      <c r="D167" t="s">
        <v>81</v>
      </c>
      <c r="E167">
        <v>152</v>
      </c>
      <c r="F167">
        <v>7.4</v>
      </c>
      <c r="G167">
        <v>5.2539999999999996</v>
      </c>
      <c r="H167">
        <v>0</v>
      </c>
      <c r="I167">
        <v>0</v>
      </c>
      <c r="J167">
        <v>0</v>
      </c>
      <c r="K167">
        <v>6</v>
      </c>
      <c r="L167">
        <v>0</v>
      </c>
      <c r="M167">
        <f>IF(AND(A167&gt;=Seguridad!$H$5,A167&lt;=Seguridad!$J$5,OR(Seguridad!$B$5="Todas",C167=Seguridad!$B$5),OR(Seguridad!$E$5="Ambos",D167=Seguridad!$E$5),OR(Seguridad!$M$5="Todas",B167=Seguridad!$M$5)),1,0)</f>
        <v>0</v>
      </c>
    </row>
    <row r="168" spans="1:13">
      <c r="A168" s="5">
        <v>46287</v>
      </c>
      <c r="B168" t="s">
        <v>37</v>
      </c>
      <c r="C168" t="s">
        <v>36</v>
      </c>
      <c r="D168" t="s">
        <v>84</v>
      </c>
      <c r="E168">
        <v>108</v>
      </c>
      <c r="F168">
        <v>6</v>
      </c>
      <c r="G168">
        <v>3.7199999999999998</v>
      </c>
      <c r="H168">
        <v>0</v>
      </c>
      <c r="I168">
        <v>0</v>
      </c>
      <c r="J168">
        <v>0</v>
      </c>
      <c r="K168">
        <v>2</v>
      </c>
      <c r="L168">
        <v>0</v>
      </c>
      <c r="M168">
        <f>IF(AND(A168&gt;=Seguridad!$H$5,A168&lt;=Seguridad!$J$5,OR(Seguridad!$B$5="Todas",C168=Seguridad!$B$5),OR(Seguridad!$E$5="Ambos",D168=Seguridad!$E$5),OR(Seguridad!$M$5="Todas",B168=Seguridad!$M$5)),1,0)</f>
        <v>0</v>
      </c>
    </row>
    <row r="169" spans="1:13">
      <c r="A169" s="5">
        <v>46288</v>
      </c>
      <c r="B169" t="s">
        <v>37</v>
      </c>
      <c r="C169" t="s">
        <v>36</v>
      </c>
      <c r="D169" t="s">
        <v>81</v>
      </c>
      <c r="E169">
        <v>136</v>
      </c>
      <c r="F169">
        <v>8.1</v>
      </c>
      <c r="G169">
        <v>4.6980000000000004</v>
      </c>
      <c r="H169">
        <v>0</v>
      </c>
      <c r="I169">
        <v>0</v>
      </c>
      <c r="J169">
        <v>0</v>
      </c>
      <c r="K169">
        <v>3</v>
      </c>
      <c r="L169">
        <v>0</v>
      </c>
      <c r="M169">
        <f>IF(AND(A169&gt;=Seguridad!$H$5,A169&lt;=Seguridad!$J$5,OR(Seguridad!$B$5="Todas",C169=Seguridad!$B$5),OR(Seguridad!$E$5="Ambos",D169=Seguridad!$E$5),OR(Seguridad!$M$5="Todas",B169=Seguridad!$M$5)),1,0)</f>
        <v>0</v>
      </c>
    </row>
    <row r="170" spans="1:13">
      <c r="A170" s="5">
        <v>46288</v>
      </c>
      <c r="B170" t="s">
        <v>37</v>
      </c>
      <c r="C170" t="s">
        <v>36</v>
      </c>
      <c r="D170" t="s">
        <v>84</v>
      </c>
      <c r="E170">
        <v>134</v>
      </c>
      <c r="F170">
        <v>6.7</v>
      </c>
      <c r="G170">
        <v>4.6230000000000002</v>
      </c>
      <c r="H170">
        <v>0</v>
      </c>
      <c r="I170">
        <v>0</v>
      </c>
      <c r="J170">
        <v>0</v>
      </c>
      <c r="K170">
        <v>4</v>
      </c>
      <c r="L170">
        <v>0</v>
      </c>
      <c r="M170">
        <f>IF(AND(A170&gt;=Seguridad!$H$5,A170&lt;=Seguridad!$J$5,OR(Seguridad!$B$5="Todas",C170=Seguridad!$B$5),OR(Seguridad!$E$5="Ambos",D170=Seguridad!$E$5),OR(Seguridad!$M$5="Todas",B170=Seguridad!$M$5)),1,0)</f>
        <v>0</v>
      </c>
    </row>
    <row r="171" spans="1:13">
      <c r="A171" s="5">
        <v>46289</v>
      </c>
      <c r="B171" t="s">
        <v>37</v>
      </c>
      <c r="C171" t="s">
        <v>36</v>
      </c>
      <c r="D171" t="s">
        <v>81</v>
      </c>
      <c r="E171">
        <v>119</v>
      </c>
      <c r="F171">
        <v>6.3</v>
      </c>
      <c r="G171">
        <v>4.0949999999999998</v>
      </c>
      <c r="H171">
        <v>0</v>
      </c>
      <c r="I171">
        <v>0</v>
      </c>
      <c r="J171">
        <v>0</v>
      </c>
      <c r="K171">
        <v>5</v>
      </c>
      <c r="L171">
        <v>1</v>
      </c>
      <c r="M171">
        <f>IF(AND(A171&gt;=Seguridad!$H$5,A171&lt;=Seguridad!$J$5,OR(Seguridad!$B$5="Todas",C171=Seguridad!$B$5),OR(Seguridad!$E$5="Ambos",D171=Seguridad!$E$5),OR(Seguridad!$M$5="Todas",B171=Seguridad!$M$5)),1,0)</f>
        <v>0</v>
      </c>
    </row>
    <row r="172" spans="1:13">
      <c r="A172" s="5">
        <v>46289</v>
      </c>
      <c r="B172" t="s">
        <v>37</v>
      </c>
      <c r="C172" t="s">
        <v>36</v>
      </c>
      <c r="D172" t="s">
        <v>84</v>
      </c>
      <c r="E172">
        <v>120</v>
      </c>
      <c r="F172">
        <v>7.4</v>
      </c>
      <c r="G172">
        <v>4.144000000000001</v>
      </c>
      <c r="H172">
        <v>1</v>
      </c>
      <c r="I172">
        <v>0</v>
      </c>
      <c r="J172">
        <v>0</v>
      </c>
      <c r="K172">
        <v>6</v>
      </c>
      <c r="L172">
        <v>0</v>
      </c>
      <c r="M172">
        <f>IF(AND(A172&gt;=Seguridad!$H$5,A172&lt;=Seguridad!$J$5,OR(Seguridad!$B$5="Todas",C172=Seguridad!$B$5),OR(Seguridad!$E$5="Ambos",D172=Seguridad!$E$5),OR(Seguridad!$M$5="Todas",B172=Seguridad!$M$5)),1,0)</f>
        <v>0</v>
      </c>
    </row>
    <row r="173" spans="1:13">
      <c r="A173" s="5">
        <v>46276</v>
      </c>
      <c r="B173" t="s">
        <v>38</v>
      </c>
      <c r="C173" t="s">
        <v>39</v>
      </c>
      <c r="D173" t="s">
        <v>81</v>
      </c>
      <c r="E173">
        <v>132</v>
      </c>
      <c r="F173">
        <v>6.4</v>
      </c>
      <c r="G173">
        <v>4.5439999999999996</v>
      </c>
      <c r="H173">
        <v>0</v>
      </c>
      <c r="I173">
        <v>0</v>
      </c>
      <c r="J173">
        <v>0</v>
      </c>
      <c r="K173">
        <v>6</v>
      </c>
      <c r="L173">
        <v>0</v>
      </c>
      <c r="M173">
        <f>IF(AND(A173&gt;=Seguridad!$H$5,A173&lt;=Seguridad!$J$5,OR(Seguridad!$B$5="Todas",C173=Seguridad!$B$5),OR(Seguridad!$E$5="Ambos",D173=Seguridad!$E$5),OR(Seguridad!$M$5="Todas",B173=Seguridad!$M$5)),1,0)</f>
        <v>0</v>
      </c>
    </row>
    <row r="174" spans="1:13">
      <c r="A174" s="5">
        <v>46276</v>
      </c>
      <c r="B174" t="s">
        <v>38</v>
      </c>
      <c r="C174" t="s">
        <v>39</v>
      </c>
      <c r="D174" t="s">
        <v>84</v>
      </c>
      <c r="E174">
        <v>135</v>
      </c>
      <c r="F174">
        <v>7.5</v>
      </c>
      <c r="G174">
        <v>4.6500000000000004</v>
      </c>
      <c r="H174">
        <v>0</v>
      </c>
      <c r="I174">
        <v>0</v>
      </c>
      <c r="J174">
        <v>1</v>
      </c>
      <c r="K174">
        <v>2</v>
      </c>
      <c r="L174">
        <v>0</v>
      </c>
      <c r="M174">
        <f>IF(AND(A174&gt;=Seguridad!$H$5,A174&lt;=Seguridad!$J$5,OR(Seguridad!$B$5="Todas",C174=Seguridad!$B$5),OR(Seguridad!$E$5="Ambos",D174=Seguridad!$E$5),OR(Seguridad!$M$5="Todas",B174=Seguridad!$M$5)),1,0)</f>
        <v>0</v>
      </c>
    </row>
    <row r="175" spans="1:13">
      <c r="A175" s="5">
        <v>46277</v>
      </c>
      <c r="B175" t="s">
        <v>38</v>
      </c>
      <c r="C175" t="s">
        <v>39</v>
      </c>
      <c r="D175" t="s">
        <v>81</v>
      </c>
      <c r="E175">
        <v>119</v>
      </c>
      <c r="F175">
        <v>7.1</v>
      </c>
      <c r="G175">
        <v>4.1180000000000003</v>
      </c>
      <c r="H175">
        <v>0</v>
      </c>
      <c r="I175">
        <v>0</v>
      </c>
      <c r="J175">
        <v>0</v>
      </c>
      <c r="K175">
        <v>3</v>
      </c>
      <c r="L175">
        <v>0</v>
      </c>
      <c r="M175">
        <f>IF(AND(A175&gt;=Seguridad!$H$5,A175&lt;=Seguridad!$J$5,OR(Seguridad!$B$5="Todas",C175=Seguridad!$B$5),OR(Seguridad!$E$5="Ambos",D175=Seguridad!$E$5),OR(Seguridad!$M$5="Todas",B175=Seguridad!$M$5)),1,0)</f>
        <v>0</v>
      </c>
    </row>
    <row r="176" spans="1:13">
      <c r="A176" s="5">
        <v>46277</v>
      </c>
      <c r="B176" t="s">
        <v>38</v>
      </c>
      <c r="C176" t="s">
        <v>39</v>
      </c>
      <c r="D176" t="s">
        <v>84</v>
      </c>
      <c r="E176">
        <v>164</v>
      </c>
      <c r="F176">
        <v>8.1999999999999993</v>
      </c>
      <c r="G176">
        <v>5.6580000000000004</v>
      </c>
      <c r="H176">
        <v>0</v>
      </c>
      <c r="I176">
        <v>0</v>
      </c>
      <c r="J176">
        <v>0</v>
      </c>
      <c r="K176">
        <v>4</v>
      </c>
      <c r="L176">
        <v>0</v>
      </c>
      <c r="M176">
        <f>IF(AND(A176&gt;=Seguridad!$H$5,A176&lt;=Seguridad!$J$5,OR(Seguridad!$B$5="Todas",C176=Seguridad!$B$5),OR(Seguridad!$E$5="Ambos",D176=Seguridad!$E$5),OR(Seguridad!$M$5="Todas",B176=Seguridad!$M$5)),1,0)</f>
        <v>0</v>
      </c>
    </row>
    <row r="177" spans="1:13">
      <c r="A177" s="5">
        <v>46278</v>
      </c>
      <c r="B177" t="s">
        <v>38</v>
      </c>
      <c r="C177" t="s">
        <v>39</v>
      </c>
      <c r="D177" t="s">
        <v>81</v>
      </c>
      <c r="E177">
        <v>147</v>
      </c>
      <c r="F177">
        <v>7.8</v>
      </c>
      <c r="G177">
        <v>5.07</v>
      </c>
      <c r="H177">
        <v>0</v>
      </c>
      <c r="I177">
        <v>0</v>
      </c>
      <c r="J177">
        <v>0</v>
      </c>
      <c r="K177">
        <v>5</v>
      </c>
      <c r="L177">
        <v>0</v>
      </c>
      <c r="M177">
        <f>IF(AND(A177&gt;=Seguridad!$H$5,A177&lt;=Seguridad!$J$5,OR(Seguridad!$B$5="Todas",C177=Seguridad!$B$5),OR(Seguridad!$E$5="Ambos",D177=Seguridad!$E$5),OR(Seguridad!$M$5="Todas",B177=Seguridad!$M$5)),1,0)</f>
        <v>0</v>
      </c>
    </row>
    <row r="178" spans="1:13">
      <c r="A178" s="5">
        <v>46278</v>
      </c>
      <c r="B178" t="s">
        <v>38</v>
      </c>
      <c r="C178" t="s">
        <v>39</v>
      </c>
      <c r="D178" t="s">
        <v>84</v>
      </c>
      <c r="E178">
        <v>104</v>
      </c>
      <c r="F178">
        <v>6.4</v>
      </c>
      <c r="G178">
        <v>3.5840000000000005</v>
      </c>
      <c r="H178">
        <v>1</v>
      </c>
      <c r="I178">
        <v>0</v>
      </c>
      <c r="J178">
        <v>0</v>
      </c>
      <c r="K178">
        <v>6</v>
      </c>
      <c r="L178">
        <v>0</v>
      </c>
      <c r="M178">
        <f>IF(AND(A178&gt;=Seguridad!$H$5,A178&lt;=Seguridad!$J$5,OR(Seguridad!$B$5="Todas",C178=Seguridad!$B$5),OR(Seguridad!$E$5="Ambos",D178=Seguridad!$E$5),OR(Seguridad!$M$5="Todas",B178=Seguridad!$M$5)),1,0)</f>
        <v>0</v>
      </c>
    </row>
    <row r="179" spans="1:13">
      <c r="A179" s="5">
        <v>46279</v>
      </c>
      <c r="B179" t="s">
        <v>38</v>
      </c>
      <c r="C179" t="s">
        <v>39</v>
      </c>
      <c r="D179" t="s">
        <v>81</v>
      </c>
      <c r="E179">
        <v>90</v>
      </c>
      <c r="F179">
        <v>6</v>
      </c>
      <c r="G179">
        <v>3.12</v>
      </c>
      <c r="H179">
        <v>1</v>
      </c>
      <c r="I179">
        <v>0</v>
      </c>
      <c r="J179">
        <v>0</v>
      </c>
      <c r="K179">
        <v>2</v>
      </c>
      <c r="L179">
        <v>0</v>
      </c>
      <c r="M179">
        <f>IF(AND(A179&gt;=Seguridad!$H$5,A179&lt;=Seguridad!$J$5,OR(Seguridad!$B$5="Todas",C179=Seguridad!$B$5),OR(Seguridad!$E$5="Ambos",D179=Seguridad!$E$5),OR(Seguridad!$M$5="Todas",B179=Seguridad!$M$5)),1,0)</f>
        <v>0</v>
      </c>
    </row>
    <row r="180" spans="1:13">
      <c r="A180" s="5">
        <v>46279</v>
      </c>
      <c r="B180" t="s">
        <v>38</v>
      </c>
      <c r="C180" t="s">
        <v>39</v>
      </c>
      <c r="D180" t="s">
        <v>84</v>
      </c>
      <c r="E180">
        <v>130</v>
      </c>
      <c r="F180">
        <v>7.1</v>
      </c>
      <c r="G180">
        <v>4.4729999999999999</v>
      </c>
      <c r="H180">
        <v>0</v>
      </c>
      <c r="I180">
        <v>0</v>
      </c>
      <c r="J180">
        <v>0</v>
      </c>
      <c r="K180">
        <v>3</v>
      </c>
      <c r="L180">
        <v>0</v>
      </c>
      <c r="M180">
        <f>IF(AND(A180&gt;=Seguridad!$H$5,A180&lt;=Seguridad!$J$5,OR(Seguridad!$B$5="Todas",C180=Seguridad!$B$5),OR(Seguridad!$E$5="Ambos",D180=Seguridad!$E$5),OR(Seguridad!$M$5="Todas",B180=Seguridad!$M$5)),1,0)</f>
        <v>0</v>
      </c>
    </row>
    <row r="181" spans="1:13">
      <c r="A181" s="5">
        <v>46280</v>
      </c>
      <c r="B181" t="s">
        <v>38</v>
      </c>
      <c r="C181" t="s">
        <v>39</v>
      </c>
      <c r="D181" t="s">
        <v>81</v>
      </c>
      <c r="E181">
        <v>115</v>
      </c>
      <c r="F181">
        <v>6.7</v>
      </c>
      <c r="G181">
        <v>3.9530000000000007</v>
      </c>
      <c r="H181">
        <v>0</v>
      </c>
      <c r="I181">
        <v>0</v>
      </c>
      <c r="J181">
        <v>0</v>
      </c>
      <c r="K181">
        <v>4</v>
      </c>
      <c r="L181">
        <v>1</v>
      </c>
      <c r="M181">
        <f>IF(AND(A181&gt;=Seguridad!$H$5,A181&lt;=Seguridad!$J$5,OR(Seguridad!$B$5="Todas",C181=Seguridad!$B$5),OR(Seguridad!$E$5="Ambos",D181=Seguridad!$E$5),OR(Seguridad!$M$5="Todas",B181=Seguridad!$M$5)),1,0)</f>
        <v>0</v>
      </c>
    </row>
    <row r="182" spans="1:13">
      <c r="A182" s="5">
        <v>46280</v>
      </c>
      <c r="B182" t="s">
        <v>38</v>
      </c>
      <c r="C182" t="s">
        <v>39</v>
      </c>
      <c r="D182" t="s">
        <v>84</v>
      </c>
      <c r="E182">
        <v>158</v>
      </c>
      <c r="F182">
        <v>7.8</v>
      </c>
      <c r="G182">
        <v>5.46</v>
      </c>
      <c r="H182">
        <v>0</v>
      </c>
      <c r="I182">
        <v>0</v>
      </c>
      <c r="J182">
        <v>0</v>
      </c>
      <c r="K182">
        <v>5</v>
      </c>
      <c r="L182">
        <v>0</v>
      </c>
      <c r="M182">
        <f>IF(AND(A182&gt;=Seguridad!$H$5,A182&lt;=Seguridad!$J$5,OR(Seguridad!$B$5="Todas",C182=Seguridad!$B$5),OR(Seguridad!$E$5="Ambos",D182=Seguridad!$E$5),OR(Seguridad!$M$5="Todas",B182=Seguridad!$M$5)),1,0)</f>
        <v>0</v>
      </c>
    </row>
    <row r="183" spans="1:13">
      <c r="A183" s="5">
        <v>46281</v>
      </c>
      <c r="B183" t="s">
        <v>38</v>
      </c>
      <c r="C183" t="s">
        <v>39</v>
      </c>
      <c r="D183" t="s">
        <v>81</v>
      </c>
      <c r="E183">
        <v>142</v>
      </c>
      <c r="F183">
        <v>7.4</v>
      </c>
      <c r="G183">
        <v>4.8840000000000003</v>
      </c>
      <c r="H183">
        <v>0</v>
      </c>
      <c r="I183">
        <v>0</v>
      </c>
      <c r="J183">
        <v>0</v>
      </c>
      <c r="K183">
        <v>6</v>
      </c>
      <c r="L183">
        <v>0</v>
      </c>
      <c r="M183">
        <f>IF(AND(A183&gt;=Seguridad!$H$5,A183&lt;=Seguridad!$J$5,OR(Seguridad!$B$5="Todas",C183=Seguridad!$B$5),OR(Seguridad!$E$5="Ambos",D183=Seguridad!$E$5),OR(Seguridad!$M$5="Todas",B183=Seguridad!$M$5)),1,0)</f>
        <v>0</v>
      </c>
    </row>
    <row r="184" spans="1:13">
      <c r="A184" s="5">
        <v>46281</v>
      </c>
      <c r="B184" t="s">
        <v>38</v>
      </c>
      <c r="C184" t="s">
        <v>39</v>
      </c>
      <c r="D184" t="s">
        <v>84</v>
      </c>
      <c r="E184">
        <v>99</v>
      </c>
      <c r="F184">
        <v>6</v>
      </c>
      <c r="G184">
        <v>3.4200000000000004</v>
      </c>
      <c r="H184">
        <v>0</v>
      </c>
      <c r="I184">
        <v>0</v>
      </c>
      <c r="J184">
        <v>0</v>
      </c>
      <c r="K184">
        <v>2</v>
      </c>
      <c r="L184">
        <v>0</v>
      </c>
      <c r="M184">
        <f>IF(AND(A184&gt;=Seguridad!$H$5,A184&lt;=Seguridad!$J$5,OR(Seguridad!$B$5="Todas",C184=Seguridad!$B$5),OR(Seguridad!$E$5="Ambos",D184=Seguridad!$E$5),OR(Seguridad!$M$5="Todas",B184=Seguridad!$M$5)),1,0)</f>
        <v>0</v>
      </c>
    </row>
    <row r="185" spans="1:13">
      <c r="A185" s="5">
        <v>46282</v>
      </c>
      <c r="B185" t="s">
        <v>38</v>
      </c>
      <c r="C185" t="s">
        <v>39</v>
      </c>
      <c r="D185" t="s">
        <v>81</v>
      </c>
      <c r="E185">
        <v>124</v>
      </c>
      <c r="F185">
        <v>8.1</v>
      </c>
      <c r="G185">
        <v>4.2930000000000001</v>
      </c>
      <c r="H185">
        <v>0</v>
      </c>
      <c r="I185">
        <v>1</v>
      </c>
      <c r="J185">
        <v>0</v>
      </c>
      <c r="K185">
        <v>3</v>
      </c>
      <c r="L185">
        <v>0</v>
      </c>
      <c r="M185">
        <f>IF(AND(A185&gt;=Seguridad!$H$5,A185&lt;=Seguridad!$J$5,OR(Seguridad!$B$5="Todas",C185=Seguridad!$B$5),OR(Seguridad!$E$5="Ambos",D185=Seguridad!$E$5),OR(Seguridad!$M$5="Todas",B185=Seguridad!$M$5)),1,0)</f>
        <v>0</v>
      </c>
    </row>
    <row r="186" spans="1:13">
      <c r="A186" s="5">
        <v>46282</v>
      </c>
      <c r="B186" t="s">
        <v>38</v>
      </c>
      <c r="C186" t="s">
        <v>39</v>
      </c>
      <c r="D186" t="s">
        <v>84</v>
      </c>
      <c r="E186">
        <v>124</v>
      </c>
      <c r="F186">
        <v>6.7</v>
      </c>
      <c r="G186">
        <v>4.2880000000000003</v>
      </c>
      <c r="H186">
        <v>1</v>
      </c>
      <c r="I186">
        <v>0</v>
      </c>
      <c r="J186">
        <v>0</v>
      </c>
      <c r="K186">
        <v>4</v>
      </c>
      <c r="L186">
        <v>0</v>
      </c>
      <c r="M186">
        <f>IF(AND(A186&gt;=Seguridad!$H$5,A186&lt;=Seguridad!$J$5,OR(Seguridad!$B$5="Todas",C186=Seguridad!$B$5),OR(Seguridad!$E$5="Ambos",D186=Seguridad!$E$5),OR(Seguridad!$M$5="Todas",B186=Seguridad!$M$5)),1,0)</f>
        <v>0</v>
      </c>
    </row>
    <row r="187" spans="1:13">
      <c r="A187" s="5">
        <v>46283</v>
      </c>
      <c r="B187" t="s">
        <v>38</v>
      </c>
      <c r="C187" t="s">
        <v>39</v>
      </c>
      <c r="D187" t="s">
        <v>81</v>
      </c>
      <c r="E187">
        <v>110</v>
      </c>
      <c r="F187">
        <v>6.3</v>
      </c>
      <c r="G187">
        <v>3.78</v>
      </c>
      <c r="H187">
        <v>1</v>
      </c>
      <c r="I187">
        <v>0</v>
      </c>
      <c r="J187">
        <v>1</v>
      </c>
      <c r="K187">
        <v>5</v>
      </c>
      <c r="L187">
        <v>0</v>
      </c>
      <c r="M187">
        <f>IF(AND(A187&gt;=Seguridad!$H$5,A187&lt;=Seguridad!$J$5,OR(Seguridad!$B$5="Todas",C187=Seguridad!$B$5),OR(Seguridad!$E$5="Ambos",D187=Seguridad!$E$5),OR(Seguridad!$M$5="Todas",B187=Seguridad!$M$5)),1,0)</f>
        <v>0</v>
      </c>
    </row>
    <row r="188" spans="1:13">
      <c r="A188" s="5">
        <v>46283</v>
      </c>
      <c r="B188" t="s">
        <v>38</v>
      </c>
      <c r="C188" t="s">
        <v>39</v>
      </c>
      <c r="D188" t="s">
        <v>84</v>
      </c>
      <c r="E188">
        <v>152</v>
      </c>
      <c r="F188">
        <v>7.4</v>
      </c>
      <c r="G188">
        <v>5.2539999999999996</v>
      </c>
      <c r="H188">
        <v>0</v>
      </c>
      <c r="I188">
        <v>0</v>
      </c>
      <c r="J188">
        <v>0</v>
      </c>
      <c r="K188">
        <v>6</v>
      </c>
      <c r="L188">
        <v>0</v>
      </c>
      <c r="M188">
        <f>IF(AND(A188&gt;=Seguridad!$H$5,A188&lt;=Seguridad!$J$5,OR(Seguridad!$B$5="Todas",C188=Seguridad!$B$5),OR(Seguridad!$E$5="Ambos",D188=Seguridad!$E$5),OR(Seguridad!$M$5="Todas",B188=Seguridad!$M$5)),1,0)</f>
        <v>0</v>
      </c>
    </row>
    <row r="189" spans="1:13">
      <c r="A189" s="5">
        <v>46284</v>
      </c>
      <c r="B189" t="s">
        <v>38</v>
      </c>
      <c r="C189" t="s">
        <v>39</v>
      </c>
      <c r="D189" t="s">
        <v>81</v>
      </c>
      <c r="E189">
        <v>136</v>
      </c>
      <c r="F189">
        <v>7</v>
      </c>
      <c r="G189">
        <v>4.6900000000000004</v>
      </c>
      <c r="H189">
        <v>0</v>
      </c>
      <c r="I189">
        <v>0</v>
      </c>
      <c r="J189">
        <v>0</v>
      </c>
      <c r="K189">
        <v>2</v>
      </c>
      <c r="L189">
        <v>0</v>
      </c>
      <c r="M189">
        <f>IF(AND(A189&gt;=Seguridad!$H$5,A189&lt;=Seguridad!$J$5,OR(Seguridad!$B$5="Todas",C189=Seguridad!$B$5),OR(Seguridad!$E$5="Ambos",D189=Seguridad!$E$5),OR(Seguridad!$M$5="Todas",B189=Seguridad!$M$5)),1,0)</f>
        <v>0</v>
      </c>
    </row>
    <row r="190" spans="1:13">
      <c r="A190" s="5">
        <v>46284</v>
      </c>
      <c r="B190" t="s">
        <v>38</v>
      </c>
      <c r="C190" t="s">
        <v>39</v>
      </c>
      <c r="D190" t="s">
        <v>84</v>
      </c>
      <c r="E190">
        <v>136</v>
      </c>
      <c r="F190">
        <v>8.1</v>
      </c>
      <c r="G190">
        <v>4.6980000000000004</v>
      </c>
      <c r="H190">
        <v>0</v>
      </c>
      <c r="I190">
        <v>0</v>
      </c>
      <c r="J190">
        <v>0</v>
      </c>
      <c r="K190">
        <v>3</v>
      </c>
      <c r="L190">
        <v>0</v>
      </c>
      <c r="M190">
        <f>IF(AND(A190&gt;=Seguridad!$H$5,A190&lt;=Seguridad!$J$5,OR(Seguridad!$B$5="Todas",C190=Seguridad!$B$5),OR(Seguridad!$E$5="Ambos",D190=Seguridad!$E$5),OR(Seguridad!$M$5="Todas",B190=Seguridad!$M$5)),1,0)</f>
        <v>0</v>
      </c>
    </row>
    <row r="191" spans="1:13">
      <c r="A191" s="5">
        <v>46285</v>
      </c>
      <c r="B191" t="s">
        <v>38</v>
      </c>
      <c r="C191" t="s">
        <v>39</v>
      </c>
      <c r="D191" t="s">
        <v>81</v>
      </c>
      <c r="E191">
        <v>121</v>
      </c>
      <c r="F191">
        <v>7.7</v>
      </c>
      <c r="G191">
        <v>4.1580000000000004</v>
      </c>
      <c r="H191">
        <v>0</v>
      </c>
      <c r="I191">
        <v>0</v>
      </c>
      <c r="J191">
        <v>0</v>
      </c>
      <c r="K191">
        <v>4</v>
      </c>
      <c r="L191">
        <v>0</v>
      </c>
      <c r="M191">
        <f>IF(AND(A191&gt;=Seguridad!$H$5,A191&lt;=Seguridad!$J$5,OR(Seguridad!$B$5="Todas",C191=Seguridad!$B$5),OR(Seguridad!$E$5="Ambos",D191=Seguridad!$E$5),OR(Seguridad!$M$5="Todas",B191=Seguridad!$M$5)),1,0)</f>
        <v>0</v>
      </c>
    </row>
    <row r="192" spans="1:13">
      <c r="A192" s="5">
        <v>46285</v>
      </c>
      <c r="B192" t="s">
        <v>38</v>
      </c>
      <c r="C192" t="s">
        <v>39</v>
      </c>
      <c r="D192" t="s">
        <v>84</v>
      </c>
      <c r="E192">
        <v>119</v>
      </c>
      <c r="F192">
        <v>6.3</v>
      </c>
      <c r="G192">
        <v>4.0949999999999998</v>
      </c>
      <c r="H192">
        <v>0</v>
      </c>
      <c r="I192">
        <v>0</v>
      </c>
      <c r="J192">
        <v>0</v>
      </c>
      <c r="K192">
        <v>5</v>
      </c>
      <c r="L192">
        <v>1</v>
      </c>
      <c r="M192">
        <f>IF(AND(A192&gt;=Seguridad!$H$5,A192&lt;=Seguridad!$J$5,OR(Seguridad!$B$5="Todas",C192=Seguridad!$B$5),OR(Seguridad!$E$5="Ambos",D192=Seguridad!$E$5),OR(Seguridad!$M$5="Todas",B192=Seguridad!$M$5)),1,0)</f>
        <v>0</v>
      </c>
    </row>
    <row r="193" spans="1:13">
      <c r="A193" s="5">
        <v>46286</v>
      </c>
      <c r="B193" t="s">
        <v>38</v>
      </c>
      <c r="C193" t="s">
        <v>39</v>
      </c>
      <c r="D193" t="s">
        <v>81</v>
      </c>
      <c r="E193">
        <v>149</v>
      </c>
      <c r="F193">
        <v>8.4</v>
      </c>
      <c r="G193">
        <v>5.1239999999999997</v>
      </c>
      <c r="H193">
        <v>0</v>
      </c>
      <c r="I193">
        <v>0</v>
      </c>
      <c r="J193">
        <v>0</v>
      </c>
      <c r="K193">
        <v>6</v>
      </c>
      <c r="L193">
        <v>0</v>
      </c>
      <c r="M193">
        <f>IF(AND(A193&gt;=Seguridad!$H$5,A193&lt;=Seguridad!$J$5,OR(Seguridad!$B$5="Todas",C193=Seguridad!$B$5),OR(Seguridad!$E$5="Ambos",D193=Seguridad!$E$5),OR(Seguridad!$M$5="Todas",B193=Seguridad!$M$5)),1,0)</f>
        <v>0</v>
      </c>
    </row>
    <row r="194" spans="1:13">
      <c r="A194" s="5">
        <v>46286</v>
      </c>
      <c r="B194" t="s">
        <v>38</v>
      </c>
      <c r="C194" t="s">
        <v>39</v>
      </c>
      <c r="D194" t="s">
        <v>84</v>
      </c>
      <c r="E194">
        <v>106</v>
      </c>
      <c r="F194">
        <v>7</v>
      </c>
      <c r="G194">
        <v>3.64</v>
      </c>
      <c r="H194">
        <v>1</v>
      </c>
      <c r="I194">
        <v>1</v>
      </c>
      <c r="J194">
        <v>0</v>
      </c>
      <c r="K194">
        <v>2</v>
      </c>
      <c r="L194">
        <v>0</v>
      </c>
      <c r="M194">
        <f>IF(AND(A194&gt;=Seguridad!$H$5,A194&lt;=Seguridad!$J$5,OR(Seguridad!$B$5="Todas",C194=Seguridad!$B$5),OR(Seguridad!$E$5="Ambos",D194=Seguridad!$E$5),OR(Seguridad!$M$5="Todas",B194=Seguridad!$M$5)),1,0)</f>
        <v>0</v>
      </c>
    </row>
    <row r="195" spans="1:13">
      <c r="A195" s="5">
        <v>46287</v>
      </c>
      <c r="B195" t="s">
        <v>38</v>
      </c>
      <c r="C195" t="s">
        <v>39</v>
      </c>
      <c r="D195" t="s">
        <v>81</v>
      </c>
      <c r="E195">
        <v>130</v>
      </c>
      <c r="F195">
        <v>6.6</v>
      </c>
      <c r="G195">
        <v>4.4880000000000004</v>
      </c>
      <c r="H195">
        <v>1</v>
      </c>
      <c r="I195">
        <v>0</v>
      </c>
      <c r="J195">
        <v>0</v>
      </c>
      <c r="K195">
        <v>3</v>
      </c>
      <c r="L195">
        <v>0</v>
      </c>
      <c r="M195">
        <f>IF(AND(A195&gt;=Seguridad!$H$5,A195&lt;=Seguridad!$J$5,OR(Seguridad!$B$5="Todas",C195=Seguridad!$B$5),OR(Seguridad!$E$5="Ambos",D195=Seguridad!$E$5),OR(Seguridad!$M$5="Todas",B195=Seguridad!$M$5)),1,0)</f>
        <v>0</v>
      </c>
    </row>
    <row r="196" spans="1:13">
      <c r="A196" s="5">
        <v>46287</v>
      </c>
      <c r="B196" t="s">
        <v>38</v>
      </c>
      <c r="C196" t="s">
        <v>39</v>
      </c>
      <c r="D196" t="s">
        <v>84</v>
      </c>
      <c r="E196">
        <v>132</v>
      </c>
      <c r="F196">
        <v>7.7</v>
      </c>
      <c r="G196">
        <v>4.543000000000001</v>
      </c>
      <c r="H196">
        <v>0</v>
      </c>
      <c r="I196">
        <v>0</v>
      </c>
      <c r="J196">
        <v>0</v>
      </c>
      <c r="K196">
        <v>4</v>
      </c>
      <c r="L196">
        <v>0</v>
      </c>
      <c r="M196">
        <f>IF(AND(A196&gt;=Seguridad!$H$5,A196&lt;=Seguridad!$J$5,OR(Seguridad!$B$5="Todas",C196=Seguridad!$B$5),OR(Seguridad!$E$5="Ambos",D196=Seguridad!$E$5),OR(Seguridad!$M$5="Todas",B196=Seguridad!$M$5)),1,0)</f>
        <v>0</v>
      </c>
    </row>
    <row r="197" spans="1:13">
      <c r="A197" s="5">
        <v>46288</v>
      </c>
      <c r="B197" t="s">
        <v>38</v>
      </c>
      <c r="C197" t="s">
        <v>39</v>
      </c>
      <c r="D197" t="s">
        <v>81</v>
      </c>
      <c r="E197">
        <v>116</v>
      </c>
      <c r="F197">
        <v>7.3</v>
      </c>
      <c r="G197">
        <v>4.0150000000000006</v>
      </c>
      <c r="H197">
        <v>0</v>
      </c>
      <c r="I197">
        <v>0</v>
      </c>
      <c r="J197">
        <v>0</v>
      </c>
      <c r="K197">
        <v>5</v>
      </c>
      <c r="L197">
        <v>0</v>
      </c>
      <c r="M197">
        <f>IF(AND(A197&gt;=Seguridad!$H$5,A197&lt;=Seguridad!$J$5,OR(Seguridad!$B$5="Todas",C197=Seguridad!$B$5),OR(Seguridad!$E$5="Ambos",D197=Seguridad!$E$5),OR(Seguridad!$M$5="Todas",B197=Seguridad!$M$5)),1,0)</f>
        <v>0</v>
      </c>
    </row>
    <row r="198" spans="1:13">
      <c r="A198" s="5">
        <v>46288</v>
      </c>
      <c r="B198" t="s">
        <v>38</v>
      </c>
      <c r="C198" t="s">
        <v>39</v>
      </c>
      <c r="D198" t="s">
        <v>84</v>
      </c>
      <c r="E198">
        <v>161</v>
      </c>
      <c r="F198">
        <v>8.4</v>
      </c>
      <c r="G198">
        <v>5.5440000000000005</v>
      </c>
      <c r="H198">
        <v>0</v>
      </c>
      <c r="I198">
        <v>0</v>
      </c>
      <c r="J198">
        <v>0</v>
      </c>
      <c r="K198">
        <v>6</v>
      </c>
      <c r="L198">
        <v>0</v>
      </c>
      <c r="M198">
        <f>IF(AND(A198&gt;=Seguridad!$H$5,A198&lt;=Seguridad!$J$5,OR(Seguridad!$B$5="Todas",C198=Seguridad!$B$5),OR(Seguridad!$E$5="Ambos",D198=Seguridad!$E$5),OR(Seguridad!$M$5="Todas",B198=Seguridad!$M$5)),1,0)</f>
        <v>0</v>
      </c>
    </row>
    <row r="199" spans="1:13">
      <c r="A199" s="5">
        <v>46289</v>
      </c>
      <c r="B199" t="s">
        <v>38</v>
      </c>
      <c r="C199" t="s">
        <v>39</v>
      </c>
      <c r="D199" t="s">
        <v>81</v>
      </c>
      <c r="E199">
        <v>144</v>
      </c>
      <c r="F199">
        <v>8</v>
      </c>
      <c r="G199">
        <v>4.96</v>
      </c>
      <c r="H199">
        <v>0</v>
      </c>
      <c r="I199">
        <v>0</v>
      </c>
      <c r="J199">
        <v>0</v>
      </c>
      <c r="K199">
        <v>2</v>
      </c>
      <c r="L199">
        <v>0</v>
      </c>
      <c r="M199">
        <f>IF(AND(A199&gt;=Seguridad!$H$5,A199&lt;=Seguridad!$J$5,OR(Seguridad!$B$5="Todas",C199=Seguridad!$B$5),OR(Seguridad!$E$5="Ambos",D199=Seguridad!$E$5),OR(Seguridad!$M$5="Todas",B199=Seguridad!$M$5)),1,0)</f>
        <v>0</v>
      </c>
    </row>
    <row r="200" spans="1:13">
      <c r="A200" s="5">
        <v>46289</v>
      </c>
      <c r="B200" t="s">
        <v>38</v>
      </c>
      <c r="C200" t="s">
        <v>39</v>
      </c>
      <c r="D200" t="s">
        <v>84</v>
      </c>
      <c r="E200">
        <v>101</v>
      </c>
      <c r="F200">
        <v>6.6</v>
      </c>
      <c r="G200">
        <v>3.4979999999999998</v>
      </c>
      <c r="H200">
        <v>0</v>
      </c>
      <c r="I200">
        <v>0</v>
      </c>
      <c r="J200">
        <v>0</v>
      </c>
      <c r="K200">
        <v>3</v>
      </c>
      <c r="L200">
        <v>0</v>
      </c>
      <c r="M200">
        <f>IF(AND(A200&gt;=Seguridad!$H$5,A200&lt;=Seguridad!$J$5,OR(Seguridad!$B$5="Todas",C200=Seguridad!$B$5),OR(Seguridad!$E$5="Ambos",D200=Seguridad!$E$5),OR(Seguridad!$M$5="Todas",B200=Seguridad!$M$5)),1,0)</f>
        <v>0</v>
      </c>
    </row>
    <row r="201" spans="1:13">
      <c r="A201" s="5">
        <v>46276</v>
      </c>
      <c r="B201" t="s">
        <v>40</v>
      </c>
      <c r="C201" t="s">
        <v>41</v>
      </c>
      <c r="D201" t="s">
        <v>81</v>
      </c>
      <c r="E201">
        <v>160</v>
      </c>
      <c r="F201">
        <v>8.1</v>
      </c>
      <c r="G201">
        <v>5.508</v>
      </c>
      <c r="H201">
        <v>2</v>
      </c>
      <c r="I201">
        <v>0</v>
      </c>
      <c r="J201">
        <v>0</v>
      </c>
      <c r="K201">
        <v>3</v>
      </c>
      <c r="L201">
        <v>0</v>
      </c>
      <c r="M201">
        <f>IF(AND(A201&gt;=Seguridad!$H$5,A201&lt;=Seguridad!$J$5,OR(Seguridad!$B$5="Todas",C201=Seguridad!$B$5),OR(Seguridad!$E$5="Ambos",D201=Seguridad!$E$5),OR(Seguridad!$M$5="Todas",B201=Seguridad!$M$5)),1,0)</f>
        <v>0</v>
      </c>
    </row>
    <row r="202" spans="1:13">
      <c r="A202" s="5">
        <v>46276</v>
      </c>
      <c r="B202" t="s">
        <v>40</v>
      </c>
      <c r="C202" t="s">
        <v>41</v>
      </c>
      <c r="D202" t="s">
        <v>84</v>
      </c>
      <c r="E202">
        <v>115</v>
      </c>
      <c r="F202">
        <v>6.7</v>
      </c>
      <c r="G202">
        <v>3.9530000000000007</v>
      </c>
      <c r="H202">
        <v>0</v>
      </c>
      <c r="I202">
        <v>0</v>
      </c>
      <c r="J202">
        <v>0</v>
      </c>
      <c r="K202">
        <v>4</v>
      </c>
      <c r="L202">
        <v>1</v>
      </c>
      <c r="M202">
        <f>IF(AND(A202&gt;=Seguridad!$H$5,A202&lt;=Seguridad!$J$5,OR(Seguridad!$B$5="Todas",C202=Seguridad!$B$5),OR(Seguridad!$E$5="Ambos",D202=Seguridad!$E$5),OR(Seguridad!$M$5="Todas",B202=Seguridad!$M$5)),1,0)</f>
        <v>0</v>
      </c>
    </row>
    <row r="203" spans="1:13">
      <c r="A203" s="5">
        <v>46277</v>
      </c>
      <c r="B203" t="s">
        <v>40</v>
      </c>
      <c r="C203" t="s">
        <v>41</v>
      </c>
      <c r="D203" t="s">
        <v>81</v>
      </c>
      <c r="E203">
        <v>100</v>
      </c>
      <c r="F203">
        <v>6.3</v>
      </c>
      <c r="G203">
        <v>3.4650000000000003</v>
      </c>
      <c r="H203">
        <v>2</v>
      </c>
      <c r="I203">
        <v>0</v>
      </c>
      <c r="J203">
        <v>0</v>
      </c>
      <c r="K203">
        <v>5</v>
      </c>
      <c r="L203">
        <v>0</v>
      </c>
      <c r="M203">
        <f>IF(AND(A203&gt;=Seguridad!$H$5,A203&lt;=Seguridad!$J$5,OR(Seguridad!$B$5="Todas",C203=Seguridad!$B$5),OR(Seguridad!$E$5="Ambos",D203=Seguridad!$E$5),OR(Seguridad!$M$5="Todas",B203=Seguridad!$M$5)),1,0)</f>
        <v>0</v>
      </c>
    </row>
    <row r="204" spans="1:13">
      <c r="A204" s="5">
        <v>46277</v>
      </c>
      <c r="B204" t="s">
        <v>40</v>
      </c>
      <c r="C204" t="s">
        <v>41</v>
      </c>
      <c r="D204" t="s">
        <v>84</v>
      </c>
      <c r="E204">
        <v>142</v>
      </c>
      <c r="F204">
        <v>7.4</v>
      </c>
      <c r="G204">
        <v>4.8840000000000003</v>
      </c>
      <c r="H204">
        <v>0</v>
      </c>
      <c r="I204">
        <v>0</v>
      </c>
      <c r="J204">
        <v>0</v>
      </c>
      <c r="K204">
        <v>6</v>
      </c>
      <c r="L204">
        <v>0</v>
      </c>
      <c r="M204">
        <f>IF(AND(A204&gt;=Seguridad!$H$5,A204&lt;=Seguridad!$J$5,OR(Seguridad!$B$5="Todas",C204=Seguridad!$B$5),OR(Seguridad!$E$5="Ambos",D204=Seguridad!$E$5),OR(Seguridad!$M$5="Todas",B204=Seguridad!$M$5)),1,0)</f>
        <v>0</v>
      </c>
    </row>
    <row r="205" spans="1:13">
      <c r="A205" s="5">
        <v>46278</v>
      </c>
      <c r="B205" t="s">
        <v>40</v>
      </c>
      <c r="C205" t="s">
        <v>41</v>
      </c>
      <c r="D205" t="s">
        <v>81</v>
      </c>
      <c r="E205">
        <v>126</v>
      </c>
      <c r="F205">
        <v>7</v>
      </c>
      <c r="G205">
        <v>4.34</v>
      </c>
      <c r="H205">
        <v>2</v>
      </c>
      <c r="I205">
        <v>0</v>
      </c>
      <c r="J205">
        <v>0</v>
      </c>
      <c r="K205">
        <v>2</v>
      </c>
      <c r="L205">
        <v>0</v>
      </c>
      <c r="M205">
        <f>IF(AND(A205&gt;=Seguridad!$H$5,A205&lt;=Seguridad!$J$5,OR(Seguridad!$B$5="Todas",C205=Seguridad!$B$5),OR(Seguridad!$E$5="Ambos",D205=Seguridad!$E$5),OR(Seguridad!$M$5="Todas",B205=Seguridad!$M$5)),1,0)</f>
        <v>0</v>
      </c>
    </row>
    <row r="206" spans="1:13">
      <c r="A206" s="5">
        <v>46278</v>
      </c>
      <c r="B206" t="s">
        <v>40</v>
      </c>
      <c r="C206" t="s">
        <v>41</v>
      </c>
      <c r="D206" t="s">
        <v>84</v>
      </c>
      <c r="E206">
        <v>124</v>
      </c>
      <c r="F206">
        <v>8.1</v>
      </c>
      <c r="G206">
        <v>4.2930000000000001</v>
      </c>
      <c r="H206">
        <v>0</v>
      </c>
      <c r="I206">
        <v>1</v>
      </c>
      <c r="J206">
        <v>0</v>
      </c>
      <c r="K206">
        <v>3</v>
      </c>
      <c r="L206">
        <v>0</v>
      </c>
      <c r="M206">
        <f>IF(AND(A206&gt;=Seguridad!$H$5,A206&lt;=Seguridad!$J$5,OR(Seguridad!$B$5="Todas",C206=Seguridad!$B$5),OR(Seguridad!$E$5="Ambos",D206=Seguridad!$E$5),OR(Seguridad!$M$5="Todas",B206=Seguridad!$M$5)),1,0)</f>
        <v>0</v>
      </c>
    </row>
    <row r="207" spans="1:13">
      <c r="A207" s="5">
        <v>46279</v>
      </c>
      <c r="B207" t="s">
        <v>40</v>
      </c>
      <c r="C207" t="s">
        <v>41</v>
      </c>
      <c r="D207" t="s">
        <v>81</v>
      </c>
      <c r="E207">
        <v>154</v>
      </c>
      <c r="F207">
        <v>7.7</v>
      </c>
      <c r="G207">
        <v>5.3130000000000006</v>
      </c>
      <c r="H207">
        <v>2</v>
      </c>
      <c r="I207">
        <v>0</v>
      </c>
      <c r="J207">
        <v>0</v>
      </c>
      <c r="K207">
        <v>4</v>
      </c>
      <c r="L207">
        <v>0</v>
      </c>
      <c r="M207">
        <f>IF(AND(A207&gt;=Seguridad!$H$5,A207&lt;=Seguridad!$J$5,OR(Seguridad!$B$5="Todas",C207=Seguridad!$B$5),OR(Seguridad!$E$5="Ambos",D207=Seguridad!$E$5),OR(Seguridad!$M$5="Todas",B207=Seguridad!$M$5)),1,0)</f>
        <v>0</v>
      </c>
    </row>
    <row r="208" spans="1:13">
      <c r="A208" s="5">
        <v>46279</v>
      </c>
      <c r="B208" t="s">
        <v>40</v>
      </c>
      <c r="C208" t="s">
        <v>41</v>
      </c>
      <c r="D208" t="s">
        <v>84</v>
      </c>
      <c r="E208">
        <v>110</v>
      </c>
      <c r="F208">
        <v>6.3</v>
      </c>
      <c r="G208">
        <v>3.78</v>
      </c>
      <c r="H208">
        <v>1</v>
      </c>
      <c r="I208">
        <v>0</v>
      </c>
      <c r="J208">
        <v>1</v>
      </c>
      <c r="K208">
        <v>5</v>
      </c>
      <c r="L208">
        <v>0</v>
      </c>
      <c r="M208">
        <f>IF(AND(A208&gt;=Seguridad!$H$5,A208&lt;=Seguridad!$J$5,OR(Seguridad!$B$5="Todas",C208=Seguridad!$B$5),OR(Seguridad!$E$5="Ambos",D208=Seguridad!$E$5),OR(Seguridad!$M$5="Todas",B208=Seguridad!$M$5)),1,0)</f>
        <v>0</v>
      </c>
    </row>
    <row r="209" spans="1:13">
      <c r="A209" s="5">
        <v>46280</v>
      </c>
      <c r="B209" t="s">
        <v>40</v>
      </c>
      <c r="C209" t="s">
        <v>41</v>
      </c>
      <c r="D209" t="s">
        <v>81</v>
      </c>
      <c r="E209">
        <v>136</v>
      </c>
      <c r="F209">
        <v>8.4</v>
      </c>
      <c r="G209">
        <v>4.7040000000000006</v>
      </c>
      <c r="H209">
        <v>2</v>
      </c>
      <c r="I209">
        <v>0</v>
      </c>
      <c r="J209">
        <v>0</v>
      </c>
      <c r="K209">
        <v>6</v>
      </c>
      <c r="L209">
        <v>0</v>
      </c>
      <c r="M209">
        <f>IF(AND(A209&gt;=Seguridad!$H$5,A209&lt;=Seguridad!$J$5,OR(Seguridad!$B$5="Todas",C209=Seguridad!$B$5),OR(Seguridad!$E$5="Ambos",D209=Seguridad!$E$5),OR(Seguridad!$M$5="Todas",B209=Seguridad!$M$5)),1,0)</f>
        <v>0</v>
      </c>
    </row>
    <row r="210" spans="1:13">
      <c r="A210" s="5">
        <v>46280</v>
      </c>
      <c r="B210" t="s">
        <v>40</v>
      </c>
      <c r="C210" t="s">
        <v>41</v>
      </c>
      <c r="D210" t="s">
        <v>84</v>
      </c>
      <c r="E210">
        <v>136</v>
      </c>
      <c r="F210">
        <v>7</v>
      </c>
      <c r="G210">
        <v>4.6900000000000004</v>
      </c>
      <c r="H210">
        <v>0</v>
      </c>
      <c r="I210">
        <v>0</v>
      </c>
      <c r="J210">
        <v>0</v>
      </c>
      <c r="K210">
        <v>2</v>
      </c>
      <c r="L210">
        <v>0</v>
      </c>
      <c r="M210">
        <f>IF(AND(A210&gt;=Seguridad!$H$5,A210&lt;=Seguridad!$J$5,OR(Seguridad!$B$5="Todas",C210=Seguridad!$B$5),OR(Seguridad!$E$5="Ambos",D210=Seguridad!$E$5),OR(Seguridad!$M$5="Todas",B210=Seguridad!$M$5)),1,0)</f>
        <v>0</v>
      </c>
    </row>
    <row r="211" spans="1:13">
      <c r="A211" s="5">
        <v>46281</v>
      </c>
      <c r="B211" t="s">
        <v>40</v>
      </c>
      <c r="C211" t="s">
        <v>41</v>
      </c>
      <c r="D211" t="s">
        <v>81</v>
      </c>
      <c r="E211">
        <v>121</v>
      </c>
      <c r="F211">
        <v>6.6</v>
      </c>
      <c r="G211">
        <v>4.1579999999999995</v>
      </c>
      <c r="H211">
        <v>2</v>
      </c>
      <c r="I211">
        <v>0</v>
      </c>
      <c r="J211">
        <v>0</v>
      </c>
      <c r="K211">
        <v>3</v>
      </c>
      <c r="L211">
        <v>0</v>
      </c>
      <c r="M211">
        <f>IF(AND(A211&gt;=Seguridad!$H$5,A211&lt;=Seguridad!$J$5,OR(Seguridad!$B$5="Todas",C211=Seguridad!$B$5),OR(Seguridad!$E$5="Ambos",D211=Seguridad!$E$5),OR(Seguridad!$M$5="Todas",B211=Seguridad!$M$5)),1,0)</f>
        <v>0</v>
      </c>
    </row>
    <row r="212" spans="1:13">
      <c r="A212" s="5">
        <v>46281</v>
      </c>
      <c r="B212" t="s">
        <v>40</v>
      </c>
      <c r="C212" t="s">
        <v>41</v>
      </c>
      <c r="D212" t="s">
        <v>84</v>
      </c>
      <c r="E212">
        <v>121</v>
      </c>
      <c r="F212">
        <v>7.7</v>
      </c>
      <c r="G212">
        <v>4.1580000000000004</v>
      </c>
      <c r="H212">
        <v>0</v>
      </c>
      <c r="I212">
        <v>0</v>
      </c>
      <c r="J212">
        <v>0</v>
      </c>
      <c r="K212">
        <v>4</v>
      </c>
      <c r="L212">
        <v>0</v>
      </c>
      <c r="M212">
        <f>IF(AND(A212&gt;=Seguridad!$H$5,A212&lt;=Seguridad!$J$5,OR(Seguridad!$B$5="Todas",C212=Seguridad!$B$5),OR(Seguridad!$E$5="Ambos",D212=Seguridad!$E$5),OR(Seguridad!$M$5="Todas",B212=Seguridad!$M$5)),1,0)</f>
        <v>0</v>
      </c>
    </row>
    <row r="213" spans="1:13">
      <c r="A213" s="5">
        <v>46282</v>
      </c>
      <c r="B213" t="s">
        <v>40</v>
      </c>
      <c r="C213" t="s">
        <v>41</v>
      </c>
      <c r="D213" t="s">
        <v>81</v>
      </c>
      <c r="E213">
        <v>148</v>
      </c>
      <c r="F213">
        <v>7.3</v>
      </c>
      <c r="G213">
        <v>5.1099999999999994</v>
      </c>
      <c r="H213">
        <v>2</v>
      </c>
      <c r="I213">
        <v>0</v>
      </c>
      <c r="J213">
        <v>0</v>
      </c>
      <c r="K213">
        <v>5</v>
      </c>
      <c r="L213">
        <v>0</v>
      </c>
      <c r="M213">
        <f>IF(AND(A213&gt;=Seguridad!$H$5,A213&lt;=Seguridad!$J$5,OR(Seguridad!$B$5="Todas",C213=Seguridad!$B$5),OR(Seguridad!$E$5="Ambos",D213=Seguridad!$E$5),OR(Seguridad!$M$5="Todas",B213=Seguridad!$M$5)),1,0)</f>
        <v>0</v>
      </c>
    </row>
    <row r="214" spans="1:13">
      <c r="A214" s="5">
        <v>46282</v>
      </c>
      <c r="B214" t="s">
        <v>40</v>
      </c>
      <c r="C214" t="s">
        <v>41</v>
      </c>
      <c r="D214" t="s">
        <v>84</v>
      </c>
      <c r="E214">
        <v>149</v>
      </c>
      <c r="F214">
        <v>8.4</v>
      </c>
      <c r="G214">
        <v>5.1239999999999997</v>
      </c>
      <c r="H214">
        <v>0</v>
      </c>
      <c r="I214">
        <v>0</v>
      </c>
      <c r="J214">
        <v>0</v>
      </c>
      <c r="K214">
        <v>6</v>
      </c>
      <c r="L214">
        <v>0</v>
      </c>
      <c r="M214">
        <f>IF(AND(A214&gt;=Seguridad!$H$5,A214&lt;=Seguridad!$J$5,OR(Seguridad!$B$5="Todas",C214=Seguridad!$B$5),OR(Seguridad!$E$5="Ambos",D214=Seguridad!$E$5),OR(Seguridad!$M$5="Todas",B214=Seguridad!$M$5)),1,0)</f>
        <v>0</v>
      </c>
    </row>
    <row r="215" spans="1:13">
      <c r="A215" s="5">
        <v>46283</v>
      </c>
      <c r="B215" t="s">
        <v>40</v>
      </c>
      <c r="C215" t="s">
        <v>41</v>
      </c>
      <c r="D215" t="s">
        <v>81</v>
      </c>
      <c r="E215">
        <v>132</v>
      </c>
      <c r="F215">
        <v>8</v>
      </c>
      <c r="G215">
        <v>4.5600000000000005</v>
      </c>
      <c r="H215">
        <v>2</v>
      </c>
      <c r="I215">
        <v>0</v>
      </c>
      <c r="J215">
        <v>0</v>
      </c>
      <c r="K215">
        <v>2</v>
      </c>
      <c r="L215">
        <v>0</v>
      </c>
      <c r="M215">
        <f>IF(AND(A215&gt;=Seguridad!$H$5,A215&lt;=Seguridad!$J$5,OR(Seguridad!$B$5="Todas",C215=Seguridad!$B$5),OR(Seguridad!$E$5="Ambos",D215=Seguridad!$E$5),OR(Seguridad!$M$5="Todas",B215=Seguridad!$M$5)),1,0)</f>
        <v>0</v>
      </c>
    </row>
    <row r="216" spans="1:13">
      <c r="A216" s="5">
        <v>46283</v>
      </c>
      <c r="B216" t="s">
        <v>40</v>
      </c>
      <c r="C216" t="s">
        <v>41</v>
      </c>
      <c r="D216" t="s">
        <v>84</v>
      </c>
      <c r="E216">
        <v>130</v>
      </c>
      <c r="F216">
        <v>6.6</v>
      </c>
      <c r="G216">
        <v>4.4880000000000004</v>
      </c>
      <c r="H216">
        <v>1</v>
      </c>
      <c r="I216">
        <v>0</v>
      </c>
      <c r="J216">
        <v>0</v>
      </c>
      <c r="K216">
        <v>3</v>
      </c>
      <c r="L216">
        <v>0</v>
      </c>
      <c r="M216">
        <f>IF(AND(A216&gt;=Seguridad!$H$5,A216&lt;=Seguridad!$J$5,OR(Seguridad!$B$5="Todas",C216=Seguridad!$B$5),OR(Seguridad!$E$5="Ambos",D216=Seguridad!$E$5),OR(Seguridad!$M$5="Todas",B216=Seguridad!$M$5)),1,0)</f>
        <v>0</v>
      </c>
    </row>
    <row r="217" spans="1:13">
      <c r="A217" s="5">
        <v>46284</v>
      </c>
      <c r="B217" t="s">
        <v>40</v>
      </c>
      <c r="C217" t="s">
        <v>41</v>
      </c>
      <c r="D217" t="s">
        <v>81</v>
      </c>
      <c r="E217">
        <v>115</v>
      </c>
      <c r="F217">
        <v>6.2</v>
      </c>
      <c r="G217">
        <v>3.9680000000000004</v>
      </c>
      <c r="H217">
        <v>2</v>
      </c>
      <c r="I217">
        <v>0</v>
      </c>
      <c r="J217">
        <v>0</v>
      </c>
      <c r="K217">
        <v>4</v>
      </c>
      <c r="L217">
        <v>0</v>
      </c>
      <c r="M217">
        <f>IF(AND(A217&gt;=Seguridad!$H$5,A217&lt;=Seguridad!$J$5,OR(Seguridad!$B$5="Todas",C217=Seguridad!$B$5),OR(Seguridad!$E$5="Ambos",D217=Seguridad!$E$5),OR(Seguridad!$M$5="Todas",B217=Seguridad!$M$5)),1,0)</f>
        <v>0</v>
      </c>
    </row>
    <row r="218" spans="1:13">
      <c r="A218" s="5">
        <v>46284</v>
      </c>
      <c r="B218" t="s">
        <v>40</v>
      </c>
      <c r="C218" t="s">
        <v>41</v>
      </c>
      <c r="D218" t="s">
        <v>84</v>
      </c>
      <c r="E218">
        <v>116</v>
      </c>
      <c r="F218">
        <v>7.3</v>
      </c>
      <c r="G218">
        <v>4.0150000000000006</v>
      </c>
      <c r="H218">
        <v>0</v>
      </c>
      <c r="I218">
        <v>0</v>
      </c>
      <c r="J218">
        <v>0</v>
      </c>
      <c r="K218">
        <v>5</v>
      </c>
      <c r="L218">
        <v>0</v>
      </c>
      <c r="M218">
        <f>IF(AND(A218&gt;=Seguridad!$H$5,A218&lt;=Seguridad!$J$5,OR(Seguridad!$B$5="Todas",C218=Seguridad!$B$5),OR(Seguridad!$E$5="Ambos",D218=Seguridad!$E$5),OR(Seguridad!$M$5="Todas",B218=Seguridad!$M$5)),1,0)</f>
        <v>0</v>
      </c>
    </row>
    <row r="219" spans="1:13">
      <c r="A219" s="5">
        <v>46285</v>
      </c>
      <c r="B219" t="s">
        <v>40</v>
      </c>
      <c r="C219" t="s">
        <v>41</v>
      </c>
      <c r="D219" t="s">
        <v>81</v>
      </c>
      <c r="E219">
        <v>142</v>
      </c>
      <c r="F219">
        <v>6.9</v>
      </c>
      <c r="G219">
        <v>4.899</v>
      </c>
      <c r="H219">
        <v>2</v>
      </c>
      <c r="I219">
        <v>0</v>
      </c>
      <c r="J219">
        <v>0</v>
      </c>
      <c r="K219">
        <v>6</v>
      </c>
      <c r="L219">
        <v>0</v>
      </c>
      <c r="M219">
        <f>IF(AND(A219&gt;=Seguridad!$H$5,A219&lt;=Seguridad!$J$5,OR(Seguridad!$B$5="Todas",C219=Seguridad!$B$5),OR(Seguridad!$E$5="Ambos",D219=Seguridad!$E$5),OR(Seguridad!$M$5="Todas",B219=Seguridad!$M$5)),1,0)</f>
        <v>0</v>
      </c>
    </row>
    <row r="220" spans="1:13">
      <c r="A220" s="5">
        <v>46285</v>
      </c>
      <c r="B220" t="s">
        <v>40</v>
      </c>
      <c r="C220" t="s">
        <v>41</v>
      </c>
      <c r="D220" t="s">
        <v>84</v>
      </c>
      <c r="E220">
        <v>144</v>
      </c>
      <c r="F220">
        <v>8</v>
      </c>
      <c r="G220">
        <v>4.96</v>
      </c>
      <c r="H220">
        <v>0</v>
      </c>
      <c r="I220">
        <v>0</v>
      </c>
      <c r="J220">
        <v>0</v>
      </c>
      <c r="K220">
        <v>2</v>
      </c>
      <c r="L220">
        <v>0</v>
      </c>
      <c r="M220">
        <f>IF(AND(A220&gt;=Seguridad!$H$5,A220&lt;=Seguridad!$J$5,OR(Seguridad!$B$5="Todas",C220=Seguridad!$B$5),OR(Seguridad!$E$5="Ambos",D220=Seguridad!$E$5),OR(Seguridad!$M$5="Todas",B220=Seguridad!$M$5)),1,0)</f>
        <v>0</v>
      </c>
    </row>
    <row r="221" spans="1:13">
      <c r="A221" s="5">
        <v>46286</v>
      </c>
      <c r="B221" t="s">
        <v>40</v>
      </c>
      <c r="C221" t="s">
        <v>41</v>
      </c>
      <c r="D221" t="s">
        <v>81</v>
      </c>
      <c r="E221">
        <v>128</v>
      </c>
      <c r="F221">
        <v>7.6</v>
      </c>
      <c r="G221">
        <v>4.4080000000000004</v>
      </c>
      <c r="H221">
        <v>2</v>
      </c>
      <c r="I221">
        <v>0</v>
      </c>
      <c r="J221">
        <v>1</v>
      </c>
      <c r="K221">
        <v>3</v>
      </c>
      <c r="L221">
        <v>0</v>
      </c>
      <c r="M221">
        <f>IF(AND(A221&gt;=Seguridad!$H$5,A221&lt;=Seguridad!$J$5,OR(Seguridad!$B$5="Todas",C221=Seguridad!$B$5),OR(Seguridad!$E$5="Ambos",D221=Seguridad!$E$5),OR(Seguridad!$M$5="Todas",B221=Seguridad!$M$5)),1,0)</f>
        <v>0</v>
      </c>
    </row>
    <row r="222" spans="1:13">
      <c r="A222" s="5">
        <v>46286</v>
      </c>
      <c r="B222" t="s">
        <v>40</v>
      </c>
      <c r="C222" t="s">
        <v>41</v>
      </c>
      <c r="D222" t="s">
        <v>84</v>
      </c>
      <c r="E222">
        <v>124</v>
      </c>
      <c r="F222">
        <v>6.2</v>
      </c>
      <c r="G222">
        <v>4.2780000000000005</v>
      </c>
      <c r="H222">
        <v>0</v>
      </c>
      <c r="I222">
        <v>0</v>
      </c>
      <c r="J222">
        <v>0</v>
      </c>
      <c r="K222">
        <v>4</v>
      </c>
      <c r="L222">
        <v>0</v>
      </c>
      <c r="M222">
        <f>IF(AND(A222&gt;=Seguridad!$H$5,A222&lt;=Seguridad!$J$5,OR(Seguridad!$B$5="Todas",C222=Seguridad!$B$5),OR(Seguridad!$E$5="Ambos",D222=Seguridad!$E$5),OR(Seguridad!$M$5="Todas",B222=Seguridad!$M$5)),1,0)</f>
        <v>0</v>
      </c>
    </row>
    <row r="223" spans="1:13">
      <c r="A223" s="5">
        <v>46287</v>
      </c>
      <c r="B223" t="s">
        <v>40</v>
      </c>
      <c r="C223" t="s">
        <v>41</v>
      </c>
      <c r="D223" t="s">
        <v>81</v>
      </c>
      <c r="E223">
        <v>156</v>
      </c>
      <c r="F223">
        <v>8.3000000000000007</v>
      </c>
      <c r="G223">
        <v>5.3950000000000005</v>
      </c>
      <c r="H223">
        <v>2</v>
      </c>
      <c r="I223">
        <v>1</v>
      </c>
      <c r="J223">
        <v>0</v>
      </c>
      <c r="K223">
        <v>5</v>
      </c>
      <c r="L223">
        <v>0</v>
      </c>
      <c r="M223">
        <f>IF(AND(A223&gt;=Seguridad!$H$5,A223&lt;=Seguridad!$J$5,OR(Seguridad!$B$5="Todas",C223=Seguridad!$B$5),OR(Seguridad!$E$5="Ambos",D223=Seguridad!$E$5),OR(Seguridad!$M$5="Todas",B223=Seguridad!$M$5)),1,0)</f>
        <v>0</v>
      </c>
    </row>
    <row r="224" spans="1:13">
      <c r="A224" s="5">
        <v>46287</v>
      </c>
      <c r="B224" t="s">
        <v>40</v>
      </c>
      <c r="C224" t="s">
        <v>41</v>
      </c>
      <c r="D224" t="s">
        <v>84</v>
      </c>
      <c r="E224">
        <v>112</v>
      </c>
      <c r="F224">
        <v>6.9</v>
      </c>
      <c r="G224">
        <v>3.8640000000000008</v>
      </c>
      <c r="H224">
        <v>1</v>
      </c>
      <c r="I224">
        <v>0</v>
      </c>
      <c r="J224">
        <v>0</v>
      </c>
      <c r="K224">
        <v>6</v>
      </c>
      <c r="L224">
        <v>0</v>
      </c>
      <c r="M224">
        <f>IF(AND(A224&gt;=Seguridad!$H$5,A224&lt;=Seguridad!$J$5,OR(Seguridad!$B$5="Todas",C224=Seguridad!$B$5),OR(Seguridad!$E$5="Ambos",D224=Seguridad!$E$5),OR(Seguridad!$M$5="Todas",B224=Seguridad!$M$5)),1,0)</f>
        <v>0</v>
      </c>
    </row>
    <row r="225" spans="1:13">
      <c r="A225" s="5">
        <v>46288</v>
      </c>
      <c r="B225" t="s">
        <v>40</v>
      </c>
      <c r="C225" t="s">
        <v>41</v>
      </c>
      <c r="D225" t="s">
        <v>81</v>
      </c>
      <c r="E225">
        <v>98</v>
      </c>
      <c r="F225">
        <v>6.5</v>
      </c>
      <c r="G225">
        <v>3.38</v>
      </c>
      <c r="H225">
        <v>2</v>
      </c>
      <c r="I225">
        <v>0</v>
      </c>
      <c r="J225">
        <v>0</v>
      </c>
      <c r="K225">
        <v>2</v>
      </c>
      <c r="L225">
        <v>0</v>
      </c>
      <c r="M225">
        <f>IF(AND(A225&gt;=Seguridad!$H$5,A225&lt;=Seguridad!$J$5,OR(Seguridad!$B$5="Todas",C225=Seguridad!$B$5),OR(Seguridad!$E$5="Ambos",D225=Seguridad!$E$5),OR(Seguridad!$M$5="Todas",B225=Seguridad!$M$5)),1,0)</f>
        <v>0</v>
      </c>
    </row>
    <row r="226" spans="1:13">
      <c r="A226" s="5">
        <v>46288</v>
      </c>
      <c r="B226" t="s">
        <v>40</v>
      </c>
      <c r="C226" t="s">
        <v>41</v>
      </c>
      <c r="D226" t="s">
        <v>84</v>
      </c>
      <c r="E226">
        <v>139</v>
      </c>
      <c r="F226">
        <v>7.6</v>
      </c>
      <c r="G226">
        <v>4.7879999999999994</v>
      </c>
      <c r="H226">
        <v>0</v>
      </c>
      <c r="I226">
        <v>0</v>
      </c>
      <c r="J226">
        <v>0</v>
      </c>
      <c r="K226">
        <v>3</v>
      </c>
      <c r="L226">
        <v>0</v>
      </c>
      <c r="M226">
        <f>IF(AND(A226&gt;=Seguridad!$H$5,A226&lt;=Seguridad!$J$5,OR(Seguridad!$B$5="Todas",C226=Seguridad!$B$5),OR(Seguridad!$E$5="Ambos",D226=Seguridad!$E$5),OR(Seguridad!$M$5="Todas",B226=Seguridad!$M$5)),1,0)</f>
        <v>0</v>
      </c>
    </row>
    <row r="227" spans="1:13">
      <c r="A227" s="5">
        <v>46289</v>
      </c>
      <c r="B227" t="s">
        <v>40</v>
      </c>
      <c r="C227" t="s">
        <v>41</v>
      </c>
      <c r="D227" t="s">
        <v>81</v>
      </c>
      <c r="E227">
        <v>123</v>
      </c>
      <c r="F227">
        <v>7.2</v>
      </c>
      <c r="G227">
        <v>4.2480000000000011</v>
      </c>
      <c r="H227">
        <v>2</v>
      </c>
      <c r="I227">
        <v>0</v>
      </c>
      <c r="J227">
        <v>0</v>
      </c>
      <c r="K227">
        <v>4</v>
      </c>
      <c r="L227">
        <v>0</v>
      </c>
      <c r="M227">
        <f>IF(AND(A227&gt;=Seguridad!$H$5,A227&lt;=Seguridad!$J$5,OR(Seguridad!$B$5="Todas",C227=Seguridad!$B$5),OR(Seguridad!$E$5="Ambos",D227=Seguridad!$E$5),OR(Seguridad!$M$5="Todas",B227=Seguridad!$M$5)),1,0)</f>
        <v>0</v>
      </c>
    </row>
    <row r="228" spans="1:13">
      <c r="A228" s="5">
        <v>46289</v>
      </c>
      <c r="B228" t="s">
        <v>40</v>
      </c>
      <c r="C228" t="s">
        <v>41</v>
      </c>
      <c r="D228" t="s">
        <v>84</v>
      </c>
      <c r="E228">
        <v>168</v>
      </c>
      <c r="F228">
        <v>8.3000000000000007</v>
      </c>
      <c r="G228">
        <v>5.8100000000000005</v>
      </c>
      <c r="H228">
        <v>0</v>
      </c>
      <c r="I228">
        <v>0</v>
      </c>
      <c r="J228">
        <v>0</v>
      </c>
      <c r="K228">
        <v>5</v>
      </c>
      <c r="L228">
        <v>0</v>
      </c>
      <c r="M228">
        <f>IF(AND(A228&gt;=Seguridad!$H$5,A228&lt;=Seguridad!$J$5,OR(Seguridad!$B$5="Todas",C228=Seguridad!$B$5),OR(Seguridad!$E$5="Ambos",D228=Seguridad!$E$5),OR(Seguridad!$M$5="Todas",B228=Seguridad!$M$5)),1,0)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4"/>
  <sheetViews>
    <sheetView tabSelected="1" workbookViewId="0"/>
  </sheetViews>
  <sheetFormatPr baseColWidth="10" defaultColWidth="8.75" defaultRowHeight="14.25"/>
  <cols>
    <col min="1" max="1" width="150" customWidth="1"/>
    <col min="2" max="2" width="115" customWidth="1"/>
    <col min="3" max="3" width="110" customWidth="1"/>
    <col min="4" max="4" width="90" customWidth="1"/>
    <col min="5" max="5" width="145" customWidth="1"/>
    <col min="6" max="6" width="120" customWidth="1"/>
    <col min="7" max="7" width="220" customWidth="1"/>
  </cols>
  <sheetData>
    <row r="1" spans="1:15">
      <c r="A1" t="s">
        <v>89</v>
      </c>
    </row>
    <row r="2" spans="1:15" ht="15">
      <c r="A2" s="1" t="s">
        <v>90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1:15">
      <c r="A4" s="2" t="s">
        <v>91</v>
      </c>
      <c r="B4" s="2" t="s">
        <v>6</v>
      </c>
      <c r="C4" s="2" t="s">
        <v>23</v>
      </c>
      <c r="D4" s="2" t="s">
        <v>3</v>
      </c>
      <c r="E4" s="2" t="s">
        <v>92</v>
      </c>
      <c r="F4" s="2" t="s">
        <v>93</v>
      </c>
      <c r="G4" s="2" t="s">
        <v>94</v>
      </c>
    </row>
    <row r="5" spans="1:15">
      <c r="A5" s="9"/>
      <c r="B5" s="3"/>
      <c r="C5" s="3"/>
      <c r="D5" s="3"/>
      <c r="E5" s="3"/>
      <c r="F5" s="3"/>
      <c r="G5" s="3"/>
    </row>
    <row r="6" spans="1:15">
      <c r="A6" s="9"/>
      <c r="B6" s="3"/>
      <c r="C6" s="3"/>
      <c r="D6" s="3"/>
      <c r="E6" s="3"/>
      <c r="F6" s="3"/>
      <c r="G6" s="3"/>
    </row>
    <row r="7" spans="1:15">
      <c r="A7" s="9"/>
      <c r="B7" s="3"/>
      <c r="C7" s="3"/>
      <c r="D7" s="3"/>
      <c r="E7" s="3"/>
      <c r="F7" s="3"/>
      <c r="G7" s="3"/>
    </row>
    <row r="8" spans="1:15">
      <c r="A8" s="9"/>
      <c r="B8" s="3"/>
      <c r="C8" s="3"/>
      <c r="D8" s="3"/>
      <c r="E8" s="3"/>
      <c r="F8" s="3"/>
      <c r="G8" s="3"/>
    </row>
    <row r="9" spans="1:15">
      <c r="A9" s="9"/>
      <c r="B9" s="3"/>
      <c r="C9" s="3"/>
      <c r="D9" s="3"/>
      <c r="E9" s="3"/>
      <c r="F9" s="3"/>
      <c r="G9" s="3"/>
    </row>
    <row r="10" spans="1:15">
      <c r="A10" s="9"/>
      <c r="B10" s="3"/>
      <c r="C10" s="3"/>
      <c r="D10" s="3"/>
      <c r="E10" s="3"/>
      <c r="F10" s="3"/>
      <c r="G10" s="3"/>
    </row>
    <row r="11" spans="1:15">
      <c r="A11" s="9"/>
      <c r="B11" s="3"/>
      <c r="C11" s="3"/>
      <c r="D11" s="3"/>
      <c r="E11" s="3"/>
      <c r="F11" s="3"/>
      <c r="G11" s="3"/>
    </row>
    <row r="12" spans="1:15">
      <c r="A12" s="9"/>
      <c r="B12" s="3"/>
      <c r="C12" s="3"/>
      <c r="D12" s="3"/>
      <c r="E12" s="3"/>
      <c r="F12" s="3"/>
      <c r="G12" s="3"/>
    </row>
    <row r="13" spans="1:15">
      <c r="A13" s="9"/>
      <c r="B13" s="3"/>
      <c r="C13" s="3"/>
      <c r="D13" s="3"/>
      <c r="E13" s="3"/>
      <c r="F13" s="3"/>
      <c r="G13" s="3"/>
    </row>
    <row r="14" spans="1:15">
      <c r="A14" s="9"/>
      <c r="B14" s="3"/>
      <c r="C14" s="3"/>
      <c r="D14" s="3"/>
      <c r="E14" s="3"/>
      <c r="F14" s="3"/>
      <c r="G14" s="3"/>
    </row>
    <row r="15" spans="1:15">
      <c r="A15" s="9"/>
      <c r="B15" s="3"/>
      <c r="C15" s="3"/>
      <c r="D15" s="3"/>
      <c r="E15" s="3"/>
      <c r="F15" s="3"/>
      <c r="G15" s="3"/>
    </row>
    <row r="16" spans="1:15">
      <c r="A16" s="9"/>
      <c r="B16" s="3"/>
      <c r="C16" s="3"/>
      <c r="D16" s="3"/>
      <c r="E16" s="3"/>
      <c r="F16" s="3"/>
      <c r="G16" s="3"/>
    </row>
    <row r="17" spans="1:7">
      <c r="A17" s="9"/>
      <c r="B17" s="3"/>
      <c r="C17" s="3"/>
      <c r="D17" s="3"/>
      <c r="E17" s="3"/>
      <c r="F17" s="3"/>
      <c r="G17" s="3"/>
    </row>
    <row r="18" spans="1:7">
      <c r="A18" s="9"/>
      <c r="B18" s="3"/>
      <c r="C18" s="3"/>
      <c r="D18" s="3"/>
      <c r="E18" s="3"/>
      <c r="F18" s="3"/>
      <c r="G18" s="3"/>
    </row>
    <row r="19" spans="1:7">
      <c r="A19" s="9"/>
      <c r="B19" s="3"/>
      <c r="C19" s="3"/>
      <c r="D19" s="3"/>
      <c r="E19" s="3"/>
      <c r="F19" s="3"/>
      <c r="G19" s="3"/>
    </row>
    <row r="20" spans="1:7">
      <c r="A20" s="9"/>
      <c r="B20" s="3"/>
      <c r="C20" s="3"/>
      <c r="D20" s="3"/>
      <c r="E20" s="3"/>
      <c r="F20" s="3"/>
      <c r="G20" s="3"/>
    </row>
    <row r="21" spans="1:7">
      <c r="A21" s="9"/>
      <c r="B21" s="3"/>
      <c r="C21" s="3"/>
      <c r="D21" s="3"/>
      <c r="E21" s="3"/>
      <c r="F21" s="3"/>
      <c r="G21" s="3"/>
    </row>
    <row r="22" spans="1:7">
      <c r="A22" s="9"/>
      <c r="B22" s="3"/>
      <c r="C22" s="3"/>
      <c r="D22" s="3"/>
      <c r="E22" s="3"/>
      <c r="F22" s="3"/>
      <c r="G22" s="3"/>
    </row>
    <row r="23" spans="1:7">
      <c r="A23" s="9"/>
      <c r="B23" s="3"/>
      <c r="C23" s="3"/>
      <c r="D23" s="3"/>
      <c r="E23" s="3"/>
      <c r="F23" s="3"/>
      <c r="G23" s="3"/>
    </row>
    <row r="24" spans="1:7">
      <c r="A24" s="9"/>
      <c r="B24" s="3"/>
      <c r="C24" s="3"/>
      <c r="D24" s="3"/>
      <c r="E24" s="3"/>
      <c r="F24" s="3"/>
      <c r="G24" s="3"/>
    </row>
    <row r="25" spans="1:7">
      <c r="A25" s="9"/>
      <c r="B25" s="3"/>
      <c r="C25" s="3"/>
      <c r="D25" s="3"/>
      <c r="E25" s="3"/>
      <c r="F25" s="3"/>
      <c r="G25" s="3"/>
    </row>
    <row r="26" spans="1:7">
      <c r="A26" s="9"/>
      <c r="B26" s="3"/>
      <c r="C26" s="3"/>
      <c r="D26" s="3"/>
      <c r="E26" s="3"/>
      <c r="F26" s="3"/>
      <c r="G26" s="3"/>
    </row>
    <row r="27" spans="1:7">
      <c r="A27" s="9"/>
      <c r="B27" s="3"/>
      <c r="C27" s="3"/>
      <c r="D27" s="3"/>
      <c r="E27" s="3"/>
      <c r="F27" s="3"/>
      <c r="G27" s="3"/>
    </row>
    <row r="28" spans="1:7">
      <c r="A28" s="9"/>
      <c r="B28" s="3"/>
      <c r="C28" s="3"/>
      <c r="D28" s="3"/>
      <c r="E28" s="3"/>
      <c r="F28" s="3"/>
      <c r="G28" s="3"/>
    </row>
    <row r="29" spans="1:7">
      <c r="A29" s="9"/>
      <c r="B29" s="3"/>
      <c r="C29" s="3"/>
      <c r="D29" s="3"/>
      <c r="E29" s="3"/>
      <c r="F29" s="3"/>
      <c r="G29" s="3"/>
    </row>
    <row r="30" spans="1:7">
      <c r="A30" s="9"/>
      <c r="B30" s="3"/>
      <c r="C30" s="3"/>
      <c r="D30" s="3"/>
      <c r="E30" s="3"/>
      <c r="F30" s="3"/>
      <c r="G30" s="3"/>
    </row>
    <row r="31" spans="1:7">
      <c r="A31" s="9"/>
      <c r="B31" s="3"/>
      <c r="C31" s="3"/>
      <c r="D31" s="3"/>
      <c r="E31" s="3"/>
      <c r="F31" s="3"/>
      <c r="G31" s="3"/>
    </row>
    <row r="32" spans="1:7">
      <c r="A32" s="9"/>
      <c r="B32" s="3"/>
      <c r="C32" s="3"/>
      <c r="D32" s="3"/>
      <c r="E32" s="3"/>
      <c r="F32" s="3"/>
      <c r="G32" s="3"/>
    </row>
    <row r="33" spans="1:7">
      <c r="A33" s="9"/>
      <c r="B33" s="3"/>
      <c r="C33" s="3"/>
      <c r="D33" s="3"/>
      <c r="E33" s="3"/>
      <c r="F33" s="3"/>
      <c r="G33" s="3"/>
    </row>
    <row r="34" spans="1:7">
      <c r="A34" s="9"/>
      <c r="B34" s="3"/>
      <c r="C34" s="3"/>
      <c r="D34" s="3"/>
      <c r="E34" s="3"/>
      <c r="F34" s="3"/>
      <c r="G34" s="3"/>
    </row>
    <row r="35" spans="1:7">
      <c r="A35" s="9"/>
      <c r="B35" s="3"/>
      <c r="C35" s="3"/>
      <c r="D35" s="3"/>
      <c r="E35" s="3"/>
      <c r="F35" s="3"/>
      <c r="G35" s="3"/>
    </row>
    <row r="36" spans="1:7">
      <c r="A36" s="9"/>
      <c r="B36" s="3"/>
      <c r="C36" s="3"/>
      <c r="D36" s="3"/>
      <c r="E36" s="3"/>
      <c r="F36" s="3"/>
      <c r="G36" s="3"/>
    </row>
    <row r="37" spans="1:7">
      <c r="A37" s="9"/>
      <c r="B37" s="3"/>
      <c r="C37" s="3"/>
      <c r="D37" s="3"/>
      <c r="E37" s="3"/>
      <c r="F37" s="3"/>
      <c r="G37" s="3"/>
    </row>
    <row r="38" spans="1:7">
      <c r="A38" s="9"/>
      <c r="B38" s="3"/>
      <c r="C38" s="3"/>
      <c r="D38" s="3"/>
      <c r="E38" s="3"/>
      <c r="F38" s="3"/>
      <c r="G38" s="3"/>
    </row>
    <row r="39" spans="1:7">
      <c r="A39" s="9"/>
      <c r="B39" s="3"/>
      <c r="C39" s="3"/>
      <c r="D39" s="3"/>
      <c r="E39" s="3"/>
      <c r="F39" s="3"/>
      <c r="G39" s="3"/>
    </row>
    <row r="40" spans="1:7">
      <c r="A40" s="9"/>
      <c r="B40" s="3"/>
      <c r="C40" s="3"/>
      <c r="D40" s="3"/>
      <c r="E40" s="3"/>
      <c r="F40" s="3"/>
      <c r="G40" s="3"/>
    </row>
    <row r="41" spans="1:7">
      <c r="A41" s="9"/>
      <c r="B41" s="3"/>
      <c r="C41" s="3"/>
      <c r="D41" s="3"/>
      <c r="E41" s="3"/>
      <c r="F41" s="3"/>
      <c r="G41" s="3"/>
    </row>
    <row r="42" spans="1:7">
      <c r="A42" s="9"/>
      <c r="B42" s="3"/>
      <c r="C42" s="3"/>
      <c r="D42" s="3"/>
      <c r="E42" s="3"/>
      <c r="F42" s="3"/>
      <c r="G42" s="3"/>
    </row>
    <row r="43" spans="1:7">
      <c r="A43" s="9"/>
      <c r="B43" s="3"/>
      <c r="C43" s="3"/>
      <c r="D43" s="3"/>
      <c r="E43" s="3"/>
      <c r="F43" s="3"/>
      <c r="G43" s="3"/>
    </row>
    <row r="44" spans="1:7">
      <c r="A44" s="9"/>
      <c r="B44" s="3"/>
      <c r="C44" s="3"/>
      <c r="D44" s="3"/>
      <c r="E44" s="3"/>
      <c r="F44" s="3"/>
      <c r="G44" s="3"/>
    </row>
    <row r="45" spans="1:7">
      <c r="A45" s="9"/>
      <c r="B45" s="3"/>
      <c r="C45" s="3"/>
      <c r="D45" s="3"/>
      <c r="E45" s="3"/>
      <c r="F45" s="3"/>
      <c r="G45" s="3"/>
    </row>
    <row r="46" spans="1:7">
      <c r="A46" s="9"/>
      <c r="B46" s="3"/>
      <c r="C46" s="3"/>
      <c r="D46" s="3"/>
      <c r="E46" s="3"/>
      <c r="F46" s="3"/>
      <c r="G46" s="3"/>
    </row>
    <row r="47" spans="1:7">
      <c r="A47" s="9"/>
      <c r="B47" s="3"/>
      <c r="C47" s="3"/>
      <c r="D47" s="3"/>
      <c r="E47" s="3"/>
      <c r="F47" s="3"/>
      <c r="G47" s="3"/>
    </row>
    <row r="48" spans="1:7">
      <c r="A48" s="9"/>
      <c r="B48" s="3"/>
      <c r="C48" s="3"/>
      <c r="D48" s="3"/>
      <c r="E48" s="3"/>
      <c r="F48" s="3"/>
      <c r="G48" s="3"/>
    </row>
    <row r="49" spans="1:7">
      <c r="A49" s="9"/>
      <c r="B49" s="3"/>
      <c r="C49" s="3"/>
      <c r="D49" s="3"/>
      <c r="E49" s="3"/>
      <c r="F49" s="3"/>
      <c r="G49" s="3"/>
    </row>
    <row r="50" spans="1:7">
      <c r="A50" s="9"/>
      <c r="B50" s="3"/>
      <c r="C50" s="3"/>
      <c r="D50" s="3"/>
      <c r="E50" s="3"/>
      <c r="F50" s="3"/>
      <c r="G50" s="3"/>
    </row>
    <row r="51" spans="1:7">
      <c r="A51" s="9"/>
      <c r="B51" s="3"/>
      <c r="C51" s="3"/>
      <c r="D51" s="3"/>
      <c r="E51" s="3"/>
      <c r="F51" s="3"/>
      <c r="G51" s="3"/>
    </row>
    <row r="52" spans="1:7">
      <c r="A52" s="9"/>
      <c r="B52" s="3"/>
      <c r="C52" s="3"/>
      <c r="D52" s="3"/>
      <c r="E52" s="3"/>
      <c r="F52" s="3"/>
      <c r="G52" s="3"/>
    </row>
    <row r="53" spans="1:7">
      <c r="A53" s="9"/>
      <c r="B53" s="3"/>
      <c r="C53" s="3"/>
      <c r="D53" s="3"/>
      <c r="E53" s="3"/>
      <c r="F53" s="3"/>
      <c r="G53" s="3"/>
    </row>
    <row r="54" spans="1:7">
      <c r="A54" s="9"/>
      <c r="B54" s="3"/>
      <c r="C54" s="3"/>
      <c r="D54" s="3"/>
      <c r="E54" s="3"/>
      <c r="F54" s="3"/>
      <c r="G54" s="3"/>
    </row>
    <row r="55" spans="1:7">
      <c r="A55" s="9"/>
      <c r="B55" s="3"/>
      <c r="C55" s="3"/>
      <c r="D55" s="3"/>
      <c r="E55" s="3"/>
      <c r="F55" s="3"/>
      <c r="G55" s="3"/>
    </row>
    <row r="56" spans="1:7">
      <c r="A56" s="9"/>
      <c r="B56" s="3"/>
      <c r="C56" s="3"/>
      <c r="D56" s="3"/>
      <c r="E56" s="3"/>
      <c r="F56" s="3"/>
      <c r="G56" s="3"/>
    </row>
    <row r="57" spans="1:7">
      <c r="A57" s="9"/>
      <c r="B57" s="3"/>
      <c r="C57" s="3"/>
      <c r="D57" s="3"/>
      <c r="E57" s="3"/>
      <c r="F57" s="3"/>
      <c r="G57" s="3"/>
    </row>
    <row r="58" spans="1:7">
      <c r="A58" s="9"/>
      <c r="B58" s="3"/>
      <c r="C58" s="3"/>
      <c r="D58" s="3"/>
      <c r="E58" s="3"/>
      <c r="F58" s="3"/>
      <c r="G58" s="3"/>
    </row>
    <row r="59" spans="1:7">
      <c r="A59" s="9"/>
      <c r="B59" s="3"/>
      <c r="C59" s="3"/>
      <c r="D59" s="3"/>
      <c r="E59" s="3"/>
      <c r="F59" s="3"/>
      <c r="G59" s="3"/>
    </row>
    <row r="60" spans="1:7">
      <c r="A60" s="9"/>
      <c r="B60" s="3"/>
      <c r="C60" s="3"/>
      <c r="D60" s="3"/>
      <c r="E60" s="3"/>
      <c r="F60" s="3"/>
      <c r="G60" s="3"/>
    </row>
    <row r="61" spans="1:7">
      <c r="A61" s="9"/>
      <c r="B61" s="3"/>
      <c r="C61" s="3"/>
      <c r="D61" s="3"/>
      <c r="E61" s="3"/>
      <c r="F61" s="3"/>
      <c r="G61" s="3"/>
    </row>
    <row r="62" spans="1:7">
      <c r="A62" s="9"/>
      <c r="B62" s="3"/>
      <c r="C62" s="3"/>
      <c r="D62" s="3"/>
      <c r="E62" s="3"/>
      <c r="F62" s="3"/>
      <c r="G62" s="3"/>
    </row>
    <row r="63" spans="1:7">
      <c r="A63" s="9"/>
      <c r="B63" s="3"/>
      <c r="C63" s="3"/>
      <c r="D63" s="3"/>
      <c r="E63" s="3"/>
      <c r="F63" s="3"/>
      <c r="G63" s="3"/>
    </row>
    <row r="64" spans="1:7">
      <c r="A64" s="9"/>
      <c r="B64" s="3"/>
      <c r="C64" s="3"/>
      <c r="D64" s="3"/>
      <c r="E64" s="3"/>
      <c r="F64" s="3"/>
      <c r="G64" s="3"/>
    </row>
    <row r="65" spans="1:7">
      <c r="A65" s="9"/>
      <c r="B65" s="3"/>
      <c r="C65" s="3"/>
      <c r="D65" s="3"/>
      <c r="E65" s="3"/>
      <c r="F65" s="3"/>
      <c r="G65" s="3"/>
    </row>
    <row r="66" spans="1:7">
      <c r="A66" s="9"/>
      <c r="B66" s="3"/>
      <c r="C66" s="3"/>
      <c r="D66" s="3"/>
      <c r="E66" s="3"/>
      <c r="F66" s="3"/>
      <c r="G66" s="3"/>
    </row>
    <row r="67" spans="1:7">
      <c r="A67" s="9"/>
      <c r="B67" s="3"/>
      <c r="C67" s="3"/>
      <c r="D67" s="3"/>
      <c r="E67" s="3"/>
      <c r="F67" s="3"/>
      <c r="G67" s="3"/>
    </row>
    <row r="68" spans="1:7">
      <c r="A68" s="9"/>
      <c r="B68" s="3"/>
      <c r="C68" s="3"/>
      <c r="D68" s="3"/>
      <c r="E68" s="3"/>
      <c r="F68" s="3"/>
      <c r="G68" s="3"/>
    </row>
    <row r="69" spans="1:7">
      <c r="A69" s="9"/>
      <c r="B69" s="3"/>
      <c r="C69" s="3"/>
      <c r="D69" s="3"/>
      <c r="E69" s="3"/>
      <c r="F69" s="3"/>
      <c r="G69" s="3"/>
    </row>
    <row r="70" spans="1:7">
      <c r="A70" s="9"/>
      <c r="B70" s="3"/>
      <c r="C70" s="3"/>
      <c r="D70" s="3"/>
      <c r="E70" s="3"/>
      <c r="F70" s="3"/>
      <c r="G70" s="3"/>
    </row>
    <row r="71" spans="1:7">
      <c r="A71" s="9"/>
      <c r="B71" s="3"/>
      <c r="C71" s="3"/>
      <c r="D71" s="3"/>
      <c r="E71" s="3"/>
      <c r="F71" s="3"/>
      <c r="G71" s="3"/>
    </row>
    <row r="72" spans="1:7">
      <c r="A72" s="9"/>
      <c r="B72" s="3"/>
      <c r="C72" s="3"/>
      <c r="D72" s="3"/>
      <c r="E72" s="3"/>
      <c r="F72" s="3"/>
      <c r="G72" s="3"/>
    </row>
    <row r="73" spans="1:7">
      <c r="A73" s="9"/>
      <c r="B73" s="3"/>
      <c r="C73" s="3"/>
      <c r="D73" s="3"/>
      <c r="E73" s="3"/>
      <c r="F73" s="3"/>
      <c r="G73" s="3"/>
    </row>
    <row r="74" spans="1:7">
      <c r="A74" s="9"/>
      <c r="B74" s="3"/>
      <c r="C74" s="3"/>
      <c r="D74" s="3"/>
      <c r="E74" s="3"/>
      <c r="F74" s="3"/>
      <c r="G74" s="3"/>
    </row>
    <row r="75" spans="1:7">
      <c r="A75" s="9"/>
      <c r="B75" s="3"/>
      <c r="C75" s="3"/>
      <c r="D75" s="3"/>
      <c r="E75" s="3"/>
      <c r="F75" s="3"/>
      <c r="G75" s="3"/>
    </row>
    <row r="76" spans="1:7">
      <c r="A76" s="9"/>
      <c r="B76" s="3"/>
      <c r="C76" s="3"/>
      <c r="D76" s="3"/>
      <c r="E76" s="3"/>
      <c r="F76" s="3"/>
      <c r="G76" s="3"/>
    </row>
    <row r="77" spans="1:7">
      <c r="A77" s="9"/>
      <c r="B77" s="3"/>
      <c r="C77" s="3"/>
      <c r="D77" s="3"/>
      <c r="E77" s="3"/>
      <c r="F77" s="3"/>
      <c r="G77" s="3"/>
    </row>
    <row r="78" spans="1:7">
      <c r="A78" s="9"/>
      <c r="B78" s="3"/>
      <c r="C78" s="3"/>
      <c r="D78" s="3"/>
      <c r="E78" s="3"/>
      <c r="F78" s="3"/>
      <c r="G78" s="3"/>
    </row>
    <row r="79" spans="1:7">
      <c r="A79" s="9"/>
      <c r="B79" s="3"/>
      <c r="C79" s="3"/>
      <c r="D79" s="3"/>
      <c r="E79" s="3"/>
      <c r="F79" s="3"/>
      <c r="G79" s="3"/>
    </row>
    <row r="80" spans="1:7">
      <c r="A80" s="9"/>
      <c r="B80" s="3"/>
      <c r="C80" s="3"/>
      <c r="D80" s="3"/>
      <c r="E80" s="3"/>
      <c r="F80" s="3"/>
      <c r="G80" s="3"/>
    </row>
    <row r="81" spans="1:7">
      <c r="A81" s="9"/>
      <c r="B81" s="3"/>
      <c r="C81" s="3"/>
      <c r="D81" s="3"/>
      <c r="E81" s="3"/>
      <c r="F81" s="3"/>
      <c r="G81" s="3"/>
    </row>
    <row r="82" spans="1:7">
      <c r="A82" s="9"/>
      <c r="B82" s="3"/>
      <c r="C82" s="3"/>
      <c r="D82" s="3"/>
      <c r="E82" s="3"/>
      <c r="F82" s="3"/>
      <c r="G82" s="3"/>
    </row>
    <row r="83" spans="1:7">
      <c r="A83" s="9"/>
      <c r="B83" s="3"/>
      <c r="C83" s="3"/>
      <c r="D83" s="3"/>
      <c r="E83" s="3"/>
      <c r="F83" s="3"/>
      <c r="G83" s="3"/>
    </row>
    <row r="84" spans="1:7">
      <c r="A84" s="9"/>
      <c r="B84" s="3"/>
      <c r="C84" s="3"/>
      <c r="D84" s="3"/>
      <c r="E84" s="3"/>
      <c r="F84" s="3"/>
      <c r="G84" s="3"/>
    </row>
    <row r="85" spans="1:7">
      <c r="A85" s="9"/>
      <c r="B85" s="3"/>
      <c r="C85" s="3"/>
      <c r="D85" s="3"/>
      <c r="E85" s="3"/>
      <c r="F85" s="3"/>
      <c r="G85" s="3"/>
    </row>
    <row r="86" spans="1:7">
      <c r="A86" s="9"/>
      <c r="B86" s="3"/>
      <c r="C86" s="3"/>
      <c r="D86" s="3"/>
      <c r="E86" s="3"/>
      <c r="F86" s="3"/>
      <c r="G86" s="3"/>
    </row>
    <row r="87" spans="1:7">
      <c r="A87" s="9"/>
      <c r="B87" s="3"/>
      <c r="C87" s="3"/>
      <c r="D87" s="3"/>
      <c r="E87" s="3"/>
      <c r="F87" s="3"/>
      <c r="G87" s="3"/>
    </row>
    <row r="88" spans="1:7">
      <c r="A88" s="9"/>
      <c r="B88" s="3"/>
      <c r="C88" s="3"/>
      <c r="D88" s="3"/>
      <c r="E88" s="3"/>
      <c r="F88" s="3"/>
      <c r="G88" s="3"/>
    </row>
    <row r="89" spans="1:7">
      <c r="A89" s="9"/>
      <c r="B89" s="3"/>
      <c r="C89" s="3"/>
      <c r="D89" s="3"/>
      <c r="E89" s="3"/>
      <c r="F89" s="3"/>
      <c r="G89" s="3"/>
    </row>
    <row r="90" spans="1:7">
      <c r="A90" s="9"/>
      <c r="B90" s="3"/>
      <c r="C90" s="3"/>
      <c r="D90" s="3"/>
      <c r="E90" s="3"/>
      <c r="F90" s="3"/>
      <c r="G90" s="3"/>
    </row>
    <row r="91" spans="1:7">
      <c r="A91" s="9"/>
      <c r="B91" s="3"/>
      <c r="C91" s="3"/>
      <c r="D91" s="3"/>
      <c r="E91" s="3"/>
      <c r="F91" s="3"/>
      <c r="G91" s="3"/>
    </row>
    <row r="92" spans="1:7">
      <c r="A92" s="9"/>
      <c r="B92" s="3"/>
      <c r="C92" s="3"/>
      <c r="D92" s="3"/>
      <c r="E92" s="3"/>
      <c r="F92" s="3"/>
      <c r="G92" s="3"/>
    </row>
    <row r="93" spans="1:7">
      <c r="A93" s="9"/>
      <c r="B93" s="3"/>
      <c r="C93" s="3"/>
      <c r="D93" s="3"/>
      <c r="E93" s="3"/>
      <c r="F93" s="3"/>
      <c r="G93" s="3"/>
    </row>
    <row r="94" spans="1:7">
      <c r="A94" s="9"/>
      <c r="B94" s="3"/>
      <c r="C94" s="3"/>
      <c r="D94" s="3"/>
      <c r="E94" s="3"/>
      <c r="F94" s="3"/>
      <c r="G94" s="3"/>
    </row>
    <row r="95" spans="1:7">
      <c r="A95" s="9"/>
      <c r="B95" s="3"/>
      <c r="C95" s="3"/>
      <c r="D95" s="3"/>
      <c r="E95" s="3"/>
      <c r="F95" s="3"/>
      <c r="G95" s="3"/>
    </row>
    <row r="96" spans="1:7">
      <c r="A96" s="9"/>
      <c r="B96" s="3"/>
      <c r="C96" s="3"/>
      <c r="D96" s="3"/>
      <c r="E96" s="3"/>
      <c r="F96" s="3"/>
      <c r="G96" s="3"/>
    </row>
    <row r="97" spans="1:7">
      <c r="A97" s="9"/>
      <c r="B97" s="3"/>
      <c r="C97" s="3"/>
      <c r="D97" s="3"/>
      <c r="E97" s="3"/>
      <c r="F97" s="3"/>
      <c r="G97" s="3"/>
    </row>
    <row r="98" spans="1:7">
      <c r="A98" s="9"/>
      <c r="B98" s="3"/>
      <c r="C98" s="3"/>
      <c r="D98" s="3"/>
      <c r="E98" s="3"/>
      <c r="F98" s="3"/>
      <c r="G98" s="3"/>
    </row>
    <row r="99" spans="1:7">
      <c r="A99" s="9"/>
      <c r="B99" s="3"/>
      <c r="C99" s="3"/>
      <c r="D99" s="3"/>
      <c r="E99" s="3"/>
      <c r="F99" s="3"/>
      <c r="G99" s="3"/>
    </row>
    <row r="100" spans="1:7">
      <c r="A100" s="9"/>
      <c r="B100" s="3"/>
      <c r="C100" s="3"/>
      <c r="D100" s="3"/>
      <c r="E100" s="3"/>
      <c r="F100" s="3"/>
      <c r="G100" s="3"/>
    </row>
    <row r="101" spans="1:7">
      <c r="A101" s="9"/>
      <c r="B101" s="3"/>
      <c r="C101" s="3"/>
      <c r="D101" s="3"/>
      <c r="E101" s="3"/>
      <c r="F101" s="3"/>
      <c r="G101" s="3"/>
    </row>
    <row r="102" spans="1:7">
      <c r="A102" s="9"/>
      <c r="B102" s="3"/>
      <c r="C102" s="3"/>
      <c r="D102" s="3"/>
      <c r="E102" s="3"/>
      <c r="F102" s="3"/>
      <c r="G102" s="3"/>
    </row>
    <row r="103" spans="1:7">
      <c r="A103" s="9"/>
      <c r="B103" s="3"/>
      <c r="C103" s="3"/>
      <c r="D103" s="3"/>
      <c r="E103" s="3"/>
      <c r="F103" s="3"/>
      <c r="G103" s="3"/>
    </row>
    <row r="104" spans="1:7">
      <c r="A104" s="9"/>
      <c r="B104" s="3"/>
      <c r="C104" s="3"/>
      <c r="D104" s="3"/>
      <c r="E104" s="3"/>
      <c r="F104" s="3"/>
      <c r="G104" s="3"/>
    </row>
    <row r="105" spans="1:7">
      <c r="A105" s="9"/>
      <c r="B105" s="3"/>
      <c r="C105" s="3"/>
      <c r="D105" s="3"/>
      <c r="E105" s="3"/>
      <c r="F105" s="3"/>
      <c r="G105" s="3"/>
    </row>
    <row r="106" spans="1:7">
      <c r="A106" s="9"/>
      <c r="B106" s="3"/>
      <c r="C106" s="3"/>
      <c r="D106" s="3"/>
      <c r="E106" s="3"/>
      <c r="F106" s="3"/>
      <c r="G106" s="3"/>
    </row>
    <row r="107" spans="1:7">
      <c r="A107" s="9"/>
      <c r="B107" s="3"/>
      <c r="C107" s="3"/>
      <c r="D107" s="3"/>
      <c r="E107" s="3"/>
      <c r="F107" s="3"/>
      <c r="G107" s="3"/>
    </row>
    <row r="108" spans="1:7">
      <c r="A108" s="9"/>
      <c r="B108" s="3"/>
      <c r="C108" s="3"/>
      <c r="D108" s="3"/>
      <c r="E108" s="3"/>
      <c r="F108" s="3"/>
      <c r="G108" s="3"/>
    </row>
    <row r="109" spans="1:7">
      <c r="A109" s="9"/>
      <c r="B109" s="3"/>
      <c r="C109" s="3"/>
      <c r="D109" s="3"/>
      <c r="E109" s="3"/>
      <c r="F109" s="3"/>
      <c r="G109" s="3"/>
    </row>
    <row r="110" spans="1:7">
      <c r="A110" s="9"/>
      <c r="B110" s="3"/>
      <c r="C110" s="3"/>
      <c r="D110" s="3"/>
      <c r="E110" s="3"/>
      <c r="F110" s="3"/>
      <c r="G110" s="3"/>
    </row>
    <row r="111" spans="1:7">
      <c r="A111" s="9"/>
      <c r="B111" s="3"/>
      <c r="C111" s="3"/>
      <c r="D111" s="3"/>
      <c r="E111" s="3"/>
      <c r="F111" s="3"/>
      <c r="G111" s="3"/>
    </row>
    <row r="112" spans="1:7">
      <c r="A112" s="9"/>
      <c r="B112" s="3"/>
      <c r="C112" s="3"/>
      <c r="D112" s="3"/>
      <c r="E112" s="3"/>
      <c r="F112" s="3"/>
      <c r="G112" s="3"/>
    </row>
    <row r="113" spans="1:7">
      <c r="A113" s="9"/>
      <c r="B113" s="3"/>
      <c r="C113" s="3"/>
      <c r="D113" s="3"/>
      <c r="E113" s="3"/>
      <c r="F113" s="3"/>
      <c r="G113" s="3"/>
    </row>
    <row r="114" spans="1:7">
      <c r="A114" s="9"/>
      <c r="B114" s="3"/>
      <c r="C114" s="3"/>
      <c r="D114" s="3"/>
      <c r="E114" s="3"/>
      <c r="F114" s="3"/>
      <c r="G114" s="3"/>
    </row>
    <row r="115" spans="1:7">
      <c r="A115" s="9"/>
      <c r="B115" s="3"/>
      <c r="C115" s="3"/>
      <c r="D115" s="3"/>
      <c r="E115" s="3"/>
      <c r="F115" s="3"/>
      <c r="G115" s="3"/>
    </row>
    <row r="116" spans="1:7">
      <c r="A116" s="9"/>
      <c r="B116" s="3"/>
      <c r="C116" s="3"/>
      <c r="D116" s="3"/>
      <c r="E116" s="3"/>
      <c r="F116" s="3"/>
      <c r="G116" s="3"/>
    </row>
    <row r="117" spans="1:7">
      <c r="A117" s="9"/>
      <c r="B117" s="3"/>
      <c r="C117" s="3"/>
      <c r="D117" s="3"/>
      <c r="E117" s="3"/>
      <c r="F117" s="3"/>
      <c r="G117" s="3"/>
    </row>
    <row r="118" spans="1:7">
      <c r="A118" s="9"/>
      <c r="B118" s="3"/>
      <c r="C118" s="3"/>
      <c r="D118" s="3"/>
      <c r="E118" s="3"/>
      <c r="F118" s="3"/>
      <c r="G118" s="3"/>
    </row>
    <row r="119" spans="1:7">
      <c r="A119" s="9"/>
      <c r="B119" s="3"/>
      <c r="C119" s="3"/>
      <c r="D119" s="3"/>
      <c r="E119" s="3"/>
      <c r="F119" s="3"/>
      <c r="G119" s="3"/>
    </row>
    <row r="120" spans="1:7">
      <c r="A120" s="9"/>
      <c r="B120" s="3"/>
      <c r="C120" s="3"/>
      <c r="D120" s="3"/>
      <c r="E120" s="3"/>
      <c r="F120" s="3"/>
      <c r="G120" s="3"/>
    </row>
    <row r="121" spans="1:7">
      <c r="A121" s="9"/>
      <c r="B121" s="3"/>
      <c r="C121" s="3"/>
      <c r="D121" s="3"/>
      <c r="E121" s="3"/>
      <c r="F121" s="3"/>
      <c r="G121" s="3"/>
    </row>
    <row r="122" spans="1:7">
      <c r="A122" s="9"/>
      <c r="B122" s="3"/>
      <c r="C122" s="3"/>
      <c r="D122" s="3"/>
      <c r="E122" s="3"/>
      <c r="F122" s="3"/>
      <c r="G122" s="3"/>
    </row>
    <row r="123" spans="1:7">
      <c r="A123" s="9"/>
      <c r="B123" s="3"/>
      <c r="C123" s="3"/>
      <c r="D123" s="3"/>
      <c r="E123" s="3"/>
      <c r="F123" s="3"/>
      <c r="G123" s="3"/>
    </row>
    <row r="124" spans="1:7">
      <c r="A124" s="9"/>
      <c r="B124" s="3"/>
      <c r="C124" s="3"/>
      <c r="D124" s="3"/>
      <c r="E124" s="3"/>
      <c r="F124" s="3"/>
      <c r="G124" s="3"/>
    </row>
    <row r="125" spans="1:7">
      <c r="A125" s="9"/>
      <c r="B125" s="3"/>
      <c r="C125" s="3"/>
      <c r="D125" s="3"/>
      <c r="E125" s="3"/>
      <c r="F125" s="3"/>
      <c r="G125" s="3"/>
    </row>
    <row r="126" spans="1:7">
      <c r="A126" s="9"/>
      <c r="B126" s="3"/>
      <c r="C126" s="3"/>
      <c r="D126" s="3"/>
      <c r="E126" s="3"/>
      <c r="F126" s="3"/>
      <c r="G126" s="3"/>
    </row>
    <row r="127" spans="1:7">
      <c r="A127" s="9"/>
      <c r="B127" s="3"/>
      <c r="C127" s="3"/>
      <c r="D127" s="3"/>
      <c r="E127" s="3"/>
      <c r="F127" s="3"/>
      <c r="G127" s="3"/>
    </row>
    <row r="128" spans="1:7">
      <c r="A128" s="9"/>
      <c r="B128" s="3"/>
      <c r="C128" s="3"/>
      <c r="D128" s="3"/>
      <c r="E128" s="3"/>
      <c r="F128" s="3"/>
      <c r="G128" s="3"/>
    </row>
    <row r="129" spans="1:7">
      <c r="A129" s="9"/>
      <c r="B129" s="3"/>
      <c r="C129" s="3"/>
      <c r="D129" s="3"/>
      <c r="E129" s="3"/>
      <c r="F129" s="3"/>
      <c r="G129" s="3"/>
    </row>
    <row r="130" spans="1:7">
      <c r="A130" s="9"/>
      <c r="B130" s="3"/>
      <c r="C130" s="3"/>
      <c r="D130" s="3"/>
      <c r="E130" s="3"/>
      <c r="F130" s="3"/>
      <c r="G130" s="3"/>
    </row>
    <row r="131" spans="1:7">
      <c r="A131" s="9"/>
      <c r="B131" s="3"/>
      <c r="C131" s="3"/>
      <c r="D131" s="3"/>
      <c r="E131" s="3"/>
      <c r="F131" s="3"/>
      <c r="G131" s="3"/>
    </row>
    <row r="132" spans="1:7">
      <c r="A132" s="9"/>
      <c r="B132" s="3"/>
      <c r="C132" s="3"/>
      <c r="D132" s="3"/>
      <c r="E132" s="3"/>
      <c r="F132" s="3"/>
      <c r="G132" s="3"/>
    </row>
    <row r="133" spans="1:7">
      <c r="A133" s="9"/>
      <c r="B133" s="3"/>
      <c r="C133" s="3"/>
      <c r="D133" s="3"/>
      <c r="E133" s="3"/>
      <c r="F133" s="3"/>
      <c r="G133" s="3"/>
    </row>
    <row r="134" spans="1:7">
      <c r="A134" s="9"/>
      <c r="B134" s="3"/>
      <c r="C134" s="3"/>
      <c r="D134" s="3"/>
      <c r="E134" s="3"/>
      <c r="F134" s="3"/>
      <c r="G134" s="3"/>
    </row>
    <row r="135" spans="1:7">
      <c r="A135" s="9"/>
      <c r="B135" s="3"/>
      <c r="C135" s="3"/>
      <c r="D135" s="3"/>
      <c r="E135" s="3"/>
      <c r="F135" s="3"/>
      <c r="G135" s="3"/>
    </row>
    <row r="136" spans="1:7">
      <c r="A136" s="9"/>
      <c r="B136" s="3"/>
      <c r="C136" s="3"/>
      <c r="D136" s="3"/>
      <c r="E136" s="3"/>
      <c r="F136" s="3"/>
      <c r="G136" s="3"/>
    </row>
    <row r="137" spans="1:7">
      <c r="A137" s="9"/>
      <c r="B137" s="3"/>
      <c r="C137" s="3"/>
      <c r="D137" s="3"/>
      <c r="E137" s="3"/>
      <c r="F137" s="3"/>
      <c r="G137" s="3"/>
    </row>
    <row r="138" spans="1:7">
      <c r="A138" s="9"/>
      <c r="B138" s="3"/>
      <c r="C138" s="3"/>
      <c r="D138" s="3"/>
      <c r="E138" s="3"/>
      <c r="F138" s="3"/>
      <c r="G138" s="3"/>
    </row>
    <row r="139" spans="1:7">
      <c r="A139" s="9"/>
      <c r="B139" s="3"/>
      <c r="C139" s="3"/>
      <c r="D139" s="3"/>
      <c r="E139" s="3"/>
      <c r="F139" s="3"/>
      <c r="G139" s="3"/>
    </row>
    <row r="140" spans="1:7">
      <c r="A140" s="9"/>
      <c r="B140" s="3"/>
      <c r="C140" s="3"/>
      <c r="D140" s="3"/>
      <c r="E140" s="3"/>
      <c r="F140" s="3"/>
      <c r="G140" s="3"/>
    </row>
    <row r="141" spans="1:7">
      <c r="A141" s="9"/>
      <c r="B141" s="3"/>
      <c r="C141" s="3"/>
      <c r="D141" s="3"/>
      <c r="E141" s="3"/>
      <c r="F141" s="3"/>
      <c r="G141" s="3"/>
    </row>
    <row r="142" spans="1:7">
      <c r="A142" s="9"/>
      <c r="B142" s="3"/>
      <c r="C142" s="3"/>
      <c r="D142" s="3"/>
      <c r="E142" s="3"/>
      <c r="F142" s="3"/>
      <c r="G142" s="3"/>
    </row>
    <row r="143" spans="1:7">
      <c r="A143" s="9"/>
      <c r="B143" s="3"/>
      <c r="C143" s="3"/>
      <c r="D143" s="3"/>
      <c r="E143" s="3"/>
      <c r="F143" s="3"/>
      <c r="G143" s="3"/>
    </row>
    <row r="144" spans="1:7">
      <c r="A144" s="9"/>
      <c r="B144" s="3"/>
      <c r="C144" s="3"/>
      <c r="D144" s="3"/>
      <c r="E144" s="3"/>
      <c r="F144" s="3"/>
      <c r="G144" s="3"/>
    </row>
    <row r="145" spans="1:7">
      <c r="A145" s="9"/>
      <c r="B145" s="3"/>
      <c r="C145" s="3"/>
      <c r="D145" s="3"/>
      <c r="E145" s="3"/>
      <c r="F145" s="3"/>
      <c r="G145" s="3"/>
    </row>
    <row r="146" spans="1:7">
      <c r="A146" s="9"/>
      <c r="B146" s="3"/>
      <c r="C146" s="3"/>
      <c r="D146" s="3"/>
      <c r="E146" s="3"/>
      <c r="F146" s="3"/>
      <c r="G146" s="3"/>
    </row>
    <row r="147" spans="1:7">
      <c r="A147" s="9"/>
      <c r="B147" s="3"/>
      <c r="C147" s="3"/>
      <c r="D147" s="3"/>
      <c r="E147" s="3"/>
      <c r="F147" s="3"/>
      <c r="G147" s="3"/>
    </row>
    <row r="148" spans="1:7">
      <c r="A148" s="9"/>
      <c r="B148" s="3"/>
      <c r="C148" s="3"/>
      <c r="D148" s="3"/>
      <c r="E148" s="3"/>
      <c r="F148" s="3"/>
      <c r="G148" s="3"/>
    </row>
    <row r="149" spans="1:7">
      <c r="A149" s="9"/>
      <c r="B149" s="3"/>
      <c r="C149" s="3"/>
      <c r="D149" s="3"/>
      <c r="E149" s="3"/>
      <c r="F149" s="3"/>
      <c r="G149" s="3"/>
    </row>
    <row r="150" spans="1:7">
      <c r="A150" s="9"/>
      <c r="B150" s="3"/>
      <c r="C150" s="3"/>
      <c r="D150" s="3"/>
      <c r="E150" s="3"/>
      <c r="F150" s="3"/>
      <c r="G150" s="3"/>
    </row>
    <row r="151" spans="1:7">
      <c r="A151" s="9"/>
      <c r="B151" s="3"/>
      <c r="C151" s="3"/>
      <c r="D151" s="3"/>
      <c r="E151" s="3"/>
      <c r="F151" s="3"/>
      <c r="G151" s="3"/>
    </row>
    <row r="152" spans="1:7">
      <c r="A152" s="9"/>
      <c r="B152" s="3"/>
      <c r="C152" s="3"/>
      <c r="D152" s="3"/>
      <c r="E152" s="3"/>
      <c r="F152" s="3"/>
      <c r="G152" s="3"/>
    </row>
    <row r="153" spans="1:7">
      <c r="A153" s="9"/>
      <c r="B153" s="3"/>
      <c r="C153" s="3"/>
      <c r="D153" s="3"/>
      <c r="E153" s="3"/>
      <c r="F153" s="3"/>
      <c r="G153" s="3"/>
    </row>
    <row r="154" spans="1:7">
      <c r="A154" s="9"/>
      <c r="B154" s="3"/>
      <c r="C154" s="3"/>
      <c r="D154" s="3"/>
      <c r="E154" s="3"/>
      <c r="F154" s="3"/>
      <c r="G154" s="3"/>
    </row>
    <row r="155" spans="1:7">
      <c r="A155" s="9"/>
      <c r="B155" s="3"/>
      <c r="C155" s="3"/>
      <c r="D155" s="3"/>
      <c r="E155" s="3"/>
      <c r="F155" s="3"/>
      <c r="G155" s="3"/>
    </row>
    <row r="156" spans="1:7">
      <c r="A156" s="9"/>
      <c r="B156" s="3"/>
      <c r="C156" s="3"/>
      <c r="D156" s="3"/>
      <c r="E156" s="3"/>
      <c r="F156" s="3"/>
      <c r="G156" s="3"/>
    </row>
    <row r="157" spans="1:7">
      <c r="A157" s="9"/>
      <c r="B157" s="3"/>
      <c r="C157" s="3"/>
      <c r="D157" s="3"/>
      <c r="E157" s="3"/>
      <c r="F157" s="3"/>
      <c r="G157" s="3"/>
    </row>
    <row r="158" spans="1:7">
      <c r="A158" s="9"/>
      <c r="B158" s="3"/>
      <c r="C158" s="3"/>
      <c r="D158" s="3"/>
      <c r="E158" s="3"/>
      <c r="F158" s="3"/>
      <c r="G158" s="3"/>
    </row>
    <row r="159" spans="1:7">
      <c r="A159" s="9"/>
      <c r="B159" s="3"/>
      <c r="C159" s="3"/>
      <c r="D159" s="3"/>
      <c r="E159" s="3"/>
      <c r="F159" s="3"/>
      <c r="G159" s="3"/>
    </row>
    <row r="160" spans="1:7">
      <c r="A160" s="9"/>
      <c r="B160" s="3"/>
      <c r="C160" s="3"/>
      <c r="D160" s="3"/>
      <c r="E160" s="3"/>
      <c r="F160" s="3"/>
      <c r="G160" s="3"/>
    </row>
    <row r="161" spans="1:7">
      <c r="A161" s="9"/>
      <c r="B161" s="3"/>
      <c r="C161" s="3"/>
      <c r="D161" s="3"/>
      <c r="E161" s="3"/>
      <c r="F161" s="3"/>
      <c r="G161" s="3"/>
    </row>
    <row r="162" spans="1:7">
      <c r="A162" s="9"/>
      <c r="B162" s="3"/>
      <c r="C162" s="3"/>
      <c r="D162" s="3"/>
      <c r="E162" s="3"/>
      <c r="F162" s="3"/>
      <c r="G162" s="3"/>
    </row>
    <row r="163" spans="1:7">
      <c r="A163" s="9"/>
      <c r="B163" s="3"/>
      <c r="C163" s="3"/>
      <c r="D163" s="3"/>
      <c r="E163" s="3"/>
      <c r="F163" s="3"/>
      <c r="G163" s="3"/>
    </row>
    <row r="164" spans="1:7">
      <c r="A164" s="9"/>
      <c r="B164" s="3"/>
      <c r="C164" s="3"/>
      <c r="D164" s="3"/>
      <c r="E164" s="3"/>
      <c r="F164" s="3"/>
      <c r="G164" s="3"/>
    </row>
    <row r="165" spans="1:7">
      <c r="A165" s="9"/>
      <c r="B165" s="3"/>
      <c r="C165" s="3"/>
      <c r="D165" s="3"/>
      <c r="E165" s="3"/>
      <c r="F165" s="3"/>
      <c r="G165" s="3"/>
    </row>
    <row r="166" spans="1:7">
      <c r="A166" s="9"/>
      <c r="B166" s="3"/>
      <c r="C166" s="3"/>
      <c r="D166" s="3"/>
      <c r="E166" s="3"/>
      <c r="F166" s="3"/>
      <c r="G166" s="3"/>
    </row>
    <row r="167" spans="1:7">
      <c r="A167" s="9"/>
      <c r="B167" s="3"/>
      <c r="C167" s="3"/>
      <c r="D167" s="3"/>
      <c r="E167" s="3"/>
      <c r="F167" s="3"/>
      <c r="G167" s="3"/>
    </row>
    <row r="168" spans="1:7">
      <c r="A168" s="9"/>
      <c r="B168" s="3"/>
      <c r="C168" s="3"/>
      <c r="D168" s="3"/>
      <c r="E168" s="3"/>
      <c r="F168" s="3"/>
      <c r="G168" s="3"/>
    </row>
    <row r="169" spans="1:7">
      <c r="A169" s="9"/>
      <c r="B169" s="3"/>
      <c r="C169" s="3"/>
      <c r="D169" s="3"/>
      <c r="E169" s="3"/>
      <c r="F169" s="3"/>
      <c r="G169" s="3"/>
    </row>
    <row r="170" spans="1:7">
      <c r="A170" s="9"/>
      <c r="B170" s="3"/>
      <c r="C170" s="3"/>
      <c r="D170" s="3"/>
      <c r="E170" s="3"/>
      <c r="F170" s="3"/>
      <c r="G170" s="3"/>
    </row>
    <row r="171" spans="1:7">
      <c r="A171" s="9"/>
      <c r="B171" s="3"/>
      <c r="C171" s="3"/>
      <c r="D171" s="3"/>
      <c r="E171" s="3"/>
      <c r="F171" s="3"/>
      <c r="G171" s="3"/>
    </row>
    <row r="172" spans="1:7">
      <c r="A172" s="9"/>
      <c r="B172" s="3"/>
      <c r="C172" s="3"/>
      <c r="D172" s="3"/>
      <c r="E172" s="3"/>
      <c r="F172" s="3"/>
      <c r="G172" s="3"/>
    </row>
    <row r="173" spans="1:7">
      <c r="A173" s="9"/>
      <c r="B173" s="3"/>
      <c r="C173" s="3"/>
      <c r="D173" s="3"/>
      <c r="E173" s="3"/>
      <c r="F173" s="3"/>
      <c r="G173" s="3"/>
    </row>
    <row r="174" spans="1:7">
      <c r="A174" s="9"/>
      <c r="B174" s="3"/>
      <c r="C174" s="3"/>
      <c r="D174" s="3"/>
      <c r="E174" s="3"/>
      <c r="F174" s="3"/>
      <c r="G174" s="3"/>
    </row>
    <row r="175" spans="1:7">
      <c r="A175" s="9"/>
      <c r="B175" s="3"/>
      <c r="C175" s="3"/>
      <c r="D175" s="3"/>
      <c r="E175" s="3"/>
      <c r="F175" s="3"/>
      <c r="G175" s="3"/>
    </row>
    <row r="176" spans="1:7">
      <c r="A176" s="9"/>
      <c r="B176" s="3"/>
      <c r="C176" s="3"/>
      <c r="D176" s="3"/>
      <c r="E176" s="3"/>
      <c r="F176" s="3"/>
      <c r="G176" s="3"/>
    </row>
    <row r="177" spans="1:7">
      <c r="A177" s="9"/>
      <c r="B177" s="3"/>
      <c r="C177" s="3"/>
      <c r="D177" s="3"/>
      <c r="E177" s="3"/>
      <c r="F177" s="3"/>
      <c r="G177" s="3"/>
    </row>
    <row r="178" spans="1:7">
      <c r="A178" s="9"/>
      <c r="B178" s="3"/>
      <c r="C178" s="3"/>
      <c r="D178" s="3"/>
      <c r="E178" s="3"/>
      <c r="F178" s="3"/>
      <c r="G178" s="3"/>
    </row>
    <row r="179" spans="1:7">
      <c r="A179" s="9"/>
      <c r="B179" s="3"/>
      <c r="C179" s="3"/>
      <c r="D179" s="3"/>
      <c r="E179" s="3"/>
      <c r="F179" s="3"/>
      <c r="G179" s="3"/>
    </row>
    <row r="180" spans="1:7">
      <c r="A180" s="9"/>
      <c r="B180" s="3"/>
      <c r="C180" s="3"/>
      <c r="D180" s="3"/>
      <c r="E180" s="3"/>
      <c r="F180" s="3"/>
      <c r="G180" s="3"/>
    </row>
    <row r="181" spans="1:7">
      <c r="A181" s="9"/>
      <c r="B181" s="3"/>
      <c r="C181" s="3"/>
      <c r="D181" s="3"/>
      <c r="E181" s="3"/>
      <c r="F181" s="3"/>
      <c r="G181" s="3"/>
    </row>
    <row r="182" spans="1:7">
      <c r="A182" s="9"/>
      <c r="B182" s="3"/>
      <c r="C182" s="3"/>
      <c r="D182" s="3"/>
      <c r="E182" s="3"/>
      <c r="F182" s="3"/>
      <c r="G182" s="3"/>
    </row>
    <row r="183" spans="1:7">
      <c r="A183" s="9"/>
      <c r="B183" s="3"/>
      <c r="C183" s="3"/>
      <c r="D183" s="3"/>
      <c r="E183" s="3"/>
      <c r="F183" s="3"/>
      <c r="G183" s="3"/>
    </row>
    <row r="184" spans="1:7">
      <c r="A184" s="9"/>
      <c r="B184" s="3"/>
      <c r="C184" s="3"/>
      <c r="D184" s="3"/>
      <c r="E184" s="3"/>
      <c r="F184" s="3"/>
      <c r="G184" s="3"/>
    </row>
    <row r="185" spans="1:7">
      <c r="A185" s="9"/>
      <c r="B185" s="3"/>
      <c r="C185" s="3"/>
      <c r="D185" s="3"/>
      <c r="E185" s="3"/>
      <c r="F185" s="3"/>
      <c r="G185" s="3"/>
    </row>
    <row r="186" spans="1:7">
      <c r="A186" s="9"/>
      <c r="B186" s="3"/>
      <c r="C186" s="3"/>
      <c r="D186" s="3"/>
      <c r="E186" s="3"/>
      <c r="F186" s="3"/>
      <c r="G186" s="3"/>
    </row>
    <row r="187" spans="1:7">
      <c r="A187" s="9"/>
      <c r="B187" s="3"/>
      <c r="C187" s="3"/>
      <c r="D187" s="3"/>
      <c r="E187" s="3"/>
      <c r="F187" s="3"/>
      <c r="G187" s="3"/>
    </row>
    <row r="188" spans="1:7">
      <c r="A188" s="9"/>
      <c r="B188" s="3"/>
      <c r="C188" s="3"/>
      <c r="D188" s="3"/>
      <c r="E188" s="3"/>
      <c r="F188" s="3"/>
      <c r="G188" s="3"/>
    </row>
    <row r="189" spans="1:7">
      <c r="A189" s="9"/>
      <c r="B189" s="3"/>
      <c r="C189" s="3"/>
      <c r="D189" s="3"/>
      <c r="E189" s="3"/>
      <c r="F189" s="3"/>
      <c r="G189" s="3"/>
    </row>
    <row r="190" spans="1:7">
      <c r="A190" s="9"/>
      <c r="B190" s="3"/>
      <c r="C190" s="3"/>
      <c r="D190" s="3"/>
      <c r="E190" s="3"/>
      <c r="F190" s="3"/>
      <c r="G190" s="3"/>
    </row>
    <row r="191" spans="1:7">
      <c r="A191" s="9"/>
      <c r="B191" s="3"/>
      <c r="C191" s="3"/>
      <c r="D191" s="3"/>
      <c r="E191" s="3"/>
      <c r="F191" s="3"/>
      <c r="G191" s="3"/>
    </row>
    <row r="192" spans="1:7">
      <c r="A192" s="9"/>
      <c r="B192" s="3"/>
      <c r="C192" s="3"/>
      <c r="D192" s="3"/>
      <c r="E192" s="3"/>
      <c r="F192" s="3"/>
      <c r="G192" s="3"/>
    </row>
    <row r="193" spans="1:7">
      <c r="A193" s="9"/>
      <c r="B193" s="3"/>
      <c r="C193" s="3"/>
      <c r="D193" s="3"/>
      <c r="E193" s="3"/>
      <c r="F193" s="3"/>
      <c r="G193" s="3"/>
    </row>
    <row r="194" spans="1:7">
      <c r="A194" s="9"/>
      <c r="B194" s="3"/>
      <c r="C194" s="3"/>
      <c r="D194" s="3"/>
      <c r="E194" s="3"/>
      <c r="F194" s="3"/>
      <c r="G194" s="3"/>
    </row>
    <row r="195" spans="1:7">
      <c r="A195" s="9"/>
      <c r="B195" s="3"/>
      <c r="C195" s="3"/>
      <c r="D195" s="3"/>
      <c r="E195" s="3"/>
      <c r="F195" s="3"/>
      <c r="G195" s="3"/>
    </row>
    <row r="196" spans="1:7">
      <c r="A196" s="9"/>
      <c r="B196" s="3"/>
      <c r="C196" s="3"/>
      <c r="D196" s="3"/>
      <c r="E196" s="3"/>
      <c r="F196" s="3"/>
      <c r="G196" s="3"/>
    </row>
    <row r="197" spans="1:7">
      <c r="A197" s="9"/>
      <c r="B197" s="3"/>
      <c r="C197" s="3"/>
      <c r="D197" s="3"/>
      <c r="E197" s="3"/>
      <c r="F197" s="3"/>
      <c r="G197" s="3"/>
    </row>
    <row r="198" spans="1:7">
      <c r="A198" s="9"/>
      <c r="B198" s="3"/>
      <c r="C198" s="3"/>
      <c r="D198" s="3"/>
      <c r="E198" s="3"/>
      <c r="F198" s="3"/>
      <c r="G198" s="3"/>
    </row>
    <row r="199" spans="1:7">
      <c r="A199" s="9"/>
      <c r="B199" s="3"/>
      <c r="C199" s="3"/>
      <c r="D199" s="3"/>
      <c r="E199" s="3"/>
      <c r="F199" s="3"/>
      <c r="G199" s="3"/>
    </row>
    <row r="200" spans="1:7">
      <c r="A200" s="9"/>
      <c r="B200" s="3"/>
      <c r="C200" s="3"/>
      <c r="D200" s="3"/>
      <c r="E200" s="3"/>
      <c r="F200" s="3"/>
      <c r="G200" s="3"/>
    </row>
    <row r="201" spans="1:7">
      <c r="A201" s="9"/>
      <c r="B201" s="3"/>
      <c r="C201" s="3"/>
      <c r="D201" s="3"/>
      <c r="E201" s="3"/>
      <c r="F201" s="3"/>
      <c r="G201" s="3"/>
    </row>
    <row r="202" spans="1:7">
      <c r="A202" s="9"/>
      <c r="B202" s="3"/>
      <c r="C202" s="3"/>
      <c r="D202" s="3"/>
      <c r="E202" s="3"/>
      <c r="F202" s="3"/>
      <c r="G202" s="3"/>
    </row>
    <row r="203" spans="1:7">
      <c r="A203" s="9"/>
      <c r="B203" s="3"/>
      <c r="C203" s="3"/>
      <c r="D203" s="3"/>
      <c r="E203" s="3"/>
      <c r="F203" s="3"/>
      <c r="G203" s="3"/>
    </row>
    <row r="204" spans="1:7">
      <c r="A204" s="9"/>
      <c r="B204" s="3"/>
      <c r="C204" s="3"/>
      <c r="D204" s="3"/>
      <c r="E204" s="3"/>
      <c r="F204" s="3"/>
      <c r="G204" s="3"/>
    </row>
    <row r="205" spans="1:7">
      <c r="A205" s="9"/>
      <c r="B205" s="3"/>
      <c r="C205" s="3"/>
      <c r="D205" s="3"/>
      <c r="E205" s="3"/>
      <c r="F205" s="3"/>
      <c r="G205" s="3"/>
    </row>
    <row r="206" spans="1:7">
      <c r="A206" s="9"/>
      <c r="B206" s="3"/>
      <c r="C206" s="3"/>
      <c r="D206" s="3"/>
      <c r="E206" s="3"/>
      <c r="F206" s="3"/>
      <c r="G206" s="3"/>
    </row>
    <row r="207" spans="1:7">
      <c r="A207" s="9"/>
      <c r="B207" s="3"/>
      <c r="C207" s="3"/>
      <c r="D207" s="3"/>
      <c r="E207" s="3"/>
      <c r="F207" s="3"/>
      <c r="G207" s="3"/>
    </row>
    <row r="208" spans="1:7">
      <c r="A208" s="9"/>
      <c r="B208" s="3"/>
      <c r="C208" s="3"/>
      <c r="D208" s="3"/>
      <c r="E208" s="3"/>
      <c r="F208" s="3"/>
      <c r="G208" s="3"/>
    </row>
    <row r="209" spans="1:7">
      <c r="A209" s="9"/>
      <c r="B209" s="3"/>
      <c r="C209" s="3"/>
      <c r="D209" s="3"/>
      <c r="E209" s="3"/>
      <c r="F209" s="3"/>
      <c r="G209" s="3"/>
    </row>
    <row r="210" spans="1:7">
      <c r="A210" s="9"/>
      <c r="B210" s="3"/>
      <c r="C210" s="3"/>
      <c r="D210" s="3"/>
      <c r="E210" s="3"/>
      <c r="F210" s="3"/>
      <c r="G210" s="3"/>
    </row>
    <row r="211" spans="1:7">
      <c r="A211" s="9"/>
      <c r="B211" s="3"/>
      <c r="C211" s="3"/>
      <c r="D211" s="3"/>
      <c r="E211" s="3"/>
      <c r="F211" s="3"/>
      <c r="G211" s="3"/>
    </row>
    <row r="212" spans="1:7">
      <c r="A212" s="9"/>
      <c r="B212" s="3"/>
      <c r="C212" s="3"/>
      <c r="D212" s="3"/>
      <c r="E212" s="3"/>
      <c r="F212" s="3"/>
      <c r="G212" s="3"/>
    </row>
    <row r="213" spans="1:7">
      <c r="A213" s="9"/>
      <c r="B213" s="3"/>
      <c r="C213" s="3"/>
      <c r="D213" s="3"/>
      <c r="E213" s="3"/>
      <c r="F213" s="3"/>
      <c r="G213" s="3"/>
    </row>
    <row r="214" spans="1:7">
      <c r="A214" s="9"/>
      <c r="B214" s="3"/>
      <c r="C214" s="3"/>
      <c r="D214" s="3"/>
      <c r="E214" s="3"/>
      <c r="F214" s="3"/>
      <c r="G214" s="3"/>
    </row>
    <row r="215" spans="1:7">
      <c r="A215" s="9"/>
      <c r="B215" s="3"/>
      <c r="C215" s="3"/>
      <c r="D215" s="3"/>
      <c r="E215" s="3"/>
      <c r="F215" s="3"/>
      <c r="G215" s="3"/>
    </row>
    <row r="216" spans="1:7">
      <c r="A216" s="9"/>
      <c r="B216" s="3"/>
      <c r="C216" s="3"/>
      <c r="D216" s="3"/>
      <c r="E216" s="3"/>
      <c r="F216" s="3"/>
      <c r="G216" s="3"/>
    </row>
    <row r="217" spans="1:7">
      <c r="A217" s="9"/>
      <c r="B217" s="3"/>
      <c r="C217" s="3"/>
      <c r="D217" s="3"/>
      <c r="E217" s="3"/>
      <c r="F217" s="3"/>
      <c r="G217" s="3"/>
    </row>
    <row r="218" spans="1:7">
      <c r="A218" s="9"/>
      <c r="B218" s="3"/>
      <c r="C218" s="3"/>
      <c r="D218" s="3"/>
      <c r="E218" s="3"/>
      <c r="F218" s="3"/>
      <c r="G218" s="3"/>
    </row>
    <row r="219" spans="1:7">
      <c r="A219" s="9"/>
      <c r="B219" s="3"/>
      <c r="C219" s="3"/>
      <c r="D219" s="3"/>
      <c r="E219" s="3"/>
      <c r="F219" s="3"/>
      <c r="G219" s="3"/>
    </row>
    <row r="220" spans="1:7">
      <c r="A220" s="9"/>
      <c r="B220" s="3"/>
      <c r="C220" s="3"/>
      <c r="D220" s="3"/>
      <c r="E220" s="3"/>
      <c r="F220" s="3"/>
      <c r="G220" s="3"/>
    </row>
    <row r="221" spans="1:7">
      <c r="A221" s="9"/>
      <c r="B221" s="3"/>
      <c r="C221" s="3"/>
      <c r="D221" s="3"/>
      <c r="E221" s="3"/>
      <c r="F221" s="3"/>
      <c r="G221" s="3"/>
    </row>
    <row r="222" spans="1:7">
      <c r="A222" s="9"/>
      <c r="B222" s="3"/>
      <c r="C222" s="3"/>
      <c r="D222" s="3"/>
      <c r="E222" s="3"/>
      <c r="F222" s="3"/>
      <c r="G222" s="3"/>
    </row>
    <row r="223" spans="1:7">
      <c r="A223" s="9"/>
      <c r="B223" s="3"/>
      <c r="C223" s="3"/>
      <c r="D223" s="3"/>
      <c r="E223" s="3"/>
      <c r="F223" s="3"/>
      <c r="G223" s="3"/>
    </row>
    <row r="224" spans="1:7">
      <c r="A224" s="9"/>
      <c r="B224" s="3"/>
      <c r="C224" s="3"/>
      <c r="D224" s="3"/>
      <c r="E224" s="3"/>
      <c r="F224" s="3"/>
      <c r="G224" s="3"/>
    </row>
    <row r="225" spans="1:7">
      <c r="A225" s="9"/>
      <c r="B225" s="3"/>
      <c r="C225" s="3"/>
      <c r="D225" s="3"/>
      <c r="E225" s="3"/>
      <c r="F225" s="3"/>
      <c r="G225" s="3"/>
    </row>
    <row r="226" spans="1:7">
      <c r="A226" s="9"/>
      <c r="B226" s="3"/>
      <c r="C226" s="3"/>
      <c r="D226" s="3"/>
      <c r="E226" s="3"/>
      <c r="F226" s="3"/>
      <c r="G226" s="3"/>
    </row>
    <row r="227" spans="1:7">
      <c r="A227" s="9"/>
      <c r="B227" s="3"/>
      <c r="C227" s="3"/>
      <c r="D227" s="3"/>
      <c r="E227" s="3"/>
      <c r="F227" s="3"/>
      <c r="G227" s="3"/>
    </row>
    <row r="228" spans="1:7">
      <c r="A228" s="9"/>
      <c r="B228" s="3"/>
      <c r="C228" s="3"/>
      <c r="D228" s="3"/>
      <c r="E228" s="3"/>
      <c r="F228" s="3"/>
      <c r="G228" s="3"/>
    </row>
    <row r="229" spans="1:7">
      <c r="A229" s="9"/>
      <c r="B229" s="3"/>
      <c r="C229" s="3"/>
      <c r="D229" s="3"/>
      <c r="E229" s="3"/>
      <c r="F229" s="3"/>
      <c r="G229" s="3"/>
    </row>
    <row r="230" spans="1:7">
      <c r="A230" s="9"/>
      <c r="B230" s="3"/>
      <c r="C230" s="3"/>
      <c r="D230" s="3"/>
      <c r="E230" s="3"/>
      <c r="F230" s="3"/>
      <c r="G230" s="3"/>
    </row>
    <row r="231" spans="1:7">
      <c r="A231" s="9"/>
      <c r="B231" s="3"/>
      <c r="C231" s="3"/>
      <c r="D231" s="3"/>
      <c r="E231" s="3"/>
      <c r="F231" s="3"/>
      <c r="G231" s="3"/>
    </row>
    <row r="232" spans="1:7">
      <c r="A232" s="9"/>
      <c r="B232" s="3"/>
      <c r="C232" s="3"/>
      <c r="D232" s="3"/>
      <c r="E232" s="3"/>
      <c r="F232" s="3"/>
      <c r="G232" s="3"/>
    </row>
    <row r="233" spans="1:7">
      <c r="A233" s="9"/>
      <c r="B233" s="3"/>
      <c r="C233" s="3"/>
      <c r="D233" s="3"/>
      <c r="E233" s="3"/>
      <c r="F233" s="3"/>
      <c r="G233" s="3"/>
    </row>
    <row r="234" spans="1:7">
      <c r="A234" s="9"/>
      <c r="B234" s="3"/>
      <c r="C234" s="3"/>
      <c r="D234" s="3"/>
      <c r="E234" s="3"/>
      <c r="F234" s="3"/>
      <c r="G234" s="3"/>
    </row>
    <row r="235" spans="1:7">
      <c r="A235" s="9"/>
      <c r="B235" s="3"/>
      <c r="C235" s="3"/>
      <c r="D235" s="3"/>
      <c r="E235" s="3"/>
      <c r="F235" s="3"/>
      <c r="G235" s="3"/>
    </row>
    <row r="236" spans="1:7">
      <c r="A236" s="9"/>
      <c r="B236" s="3"/>
      <c r="C236" s="3"/>
      <c r="D236" s="3"/>
      <c r="E236" s="3"/>
      <c r="F236" s="3"/>
      <c r="G236" s="3"/>
    </row>
    <row r="237" spans="1:7">
      <c r="A237" s="9"/>
      <c r="B237" s="3"/>
      <c r="C237" s="3"/>
      <c r="D237" s="3"/>
      <c r="E237" s="3"/>
      <c r="F237" s="3"/>
      <c r="G237" s="3"/>
    </row>
    <row r="238" spans="1:7">
      <c r="A238" s="9"/>
      <c r="B238" s="3"/>
      <c r="C238" s="3"/>
      <c r="D238" s="3"/>
      <c r="E238" s="3"/>
      <c r="F238" s="3"/>
      <c r="G238" s="3"/>
    </row>
    <row r="239" spans="1:7">
      <c r="A239" s="9"/>
      <c r="B239" s="3"/>
      <c r="C239" s="3"/>
      <c r="D239" s="3"/>
      <c r="E239" s="3"/>
      <c r="F239" s="3"/>
      <c r="G239" s="3"/>
    </row>
    <row r="240" spans="1:7">
      <c r="A240" s="9"/>
      <c r="B240" s="3"/>
      <c r="C240" s="3"/>
      <c r="D240" s="3"/>
      <c r="E240" s="3"/>
      <c r="F240" s="3"/>
      <c r="G240" s="3"/>
    </row>
    <row r="241" spans="1:7">
      <c r="A241" s="9"/>
      <c r="B241" s="3"/>
      <c r="C241" s="3"/>
      <c r="D241" s="3"/>
      <c r="E241" s="3"/>
      <c r="F241" s="3"/>
      <c r="G241" s="3"/>
    </row>
    <row r="242" spans="1:7">
      <c r="A242" s="9"/>
      <c r="B242" s="3"/>
      <c r="C242" s="3"/>
      <c r="D242" s="3"/>
      <c r="E242" s="3"/>
      <c r="F242" s="3"/>
      <c r="G242" s="3"/>
    </row>
    <row r="243" spans="1:7">
      <c r="A243" s="9"/>
      <c r="B243" s="3"/>
      <c r="C243" s="3"/>
      <c r="D243" s="3"/>
      <c r="E243" s="3"/>
      <c r="F243" s="3"/>
      <c r="G243" s="3"/>
    </row>
    <row r="244" spans="1:7">
      <c r="A244" s="9"/>
      <c r="B244" s="3"/>
      <c r="C244" s="3"/>
      <c r="D244" s="3"/>
      <c r="E244" s="3"/>
      <c r="F244" s="3"/>
      <c r="G244" s="3"/>
    </row>
    <row r="245" spans="1:7">
      <c r="A245" s="9"/>
      <c r="B245" s="3"/>
      <c r="C245" s="3"/>
      <c r="D245" s="3"/>
      <c r="E245" s="3"/>
      <c r="F245" s="3"/>
      <c r="G245" s="3"/>
    </row>
    <row r="246" spans="1:7">
      <c r="A246" s="9"/>
      <c r="B246" s="3"/>
      <c r="C246" s="3"/>
      <c r="D246" s="3"/>
      <c r="E246" s="3"/>
      <c r="F246" s="3"/>
      <c r="G246" s="3"/>
    </row>
    <row r="247" spans="1:7">
      <c r="A247" s="9"/>
      <c r="B247" s="3"/>
      <c r="C247" s="3"/>
      <c r="D247" s="3"/>
      <c r="E247" s="3"/>
      <c r="F247" s="3"/>
      <c r="G247" s="3"/>
    </row>
    <row r="248" spans="1:7">
      <c r="A248" s="9"/>
      <c r="B248" s="3"/>
      <c r="C248" s="3"/>
      <c r="D248" s="3"/>
      <c r="E248" s="3"/>
      <c r="F248" s="3"/>
      <c r="G248" s="3"/>
    </row>
    <row r="249" spans="1:7">
      <c r="A249" s="9"/>
      <c r="B249" s="3"/>
      <c r="C249" s="3"/>
      <c r="D249" s="3"/>
      <c r="E249" s="3"/>
      <c r="F249" s="3"/>
      <c r="G249" s="3"/>
    </row>
    <row r="250" spans="1:7">
      <c r="A250" s="9"/>
      <c r="B250" s="3"/>
      <c r="C250" s="3"/>
      <c r="D250" s="3"/>
      <c r="E250" s="3"/>
      <c r="F250" s="3"/>
      <c r="G250" s="3"/>
    </row>
    <row r="251" spans="1:7">
      <c r="A251" s="9"/>
      <c r="B251" s="3"/>
      <c r="C251" s="3"/>
      <c r="D251" s="3"/>
      <c r="E251" s="3"/>
      <c r="F251" s="3"/>
      <c r="G251" s="3"/>
    </row>
    <row r="252" spans="1:7">
      <c r="A252" s="9"/>
      <c r="B252" s="3"/>
      <c r="C252" s="3"/>
      <c r="D252" s="3"/>
      <c r="E252" s="3"/>
      <c r="F252" s="3"/>
      <c r="G252" s="3"/>
    </row>
    <row r="253" spans="1:7">
      <c r="A253" s="9"/>
      <c r="B253" s="3"/>
      <c r="C253" s="3"/>
      <c r="D253" s="3"/>
      <c r="E253" s="3"/>
      <c r="F253" s="3"/>
      <c r="G253" s="3"/>
    </row>
    <row r="254" spans="1:7">
      <c r="A254" s="9"/>
      <c r="B254" s="3"/>
      <c r="C254" s="3"/>
      <c r="D254" s="3"/>
      <c r="E254" s="3"/>
      <c r="F254" s="3"/>
      <c r="G254" s="3"/>
    </row>
    <row r="255" spans="1:7">
      <c r="A255" s="9"/>
      <c r="B255" s="3"/>
      <c r="C255" s="3"/>
      <c r="D255" s="3"/>
      <c r="E255" s="3"/>
      <c r="F255" s="3"/>
      <c r="G255" s="3"/>
    </row>
    <row r="256" spans="1:7">
      <c r="A256" s="9"/>
      <c r="B256" s="3"/>
      <c r="C256" s="3"/>
      <c r="D256" s="3"/>
      <c r="E256" s="3"/>
      <c r="F256" s="3"/>
      <c r="G256" s="3"/>
    </row>
    <row r="257" spans="1:7">
      <c r="A257" s="9"/>
      <c r="B257" s="3"/>
      <c r="C257" s="3"/>
      <c r="D257" s="3"/>
      <c r="E257" s="3"/>
      <c r="F257" s="3"/>
      <c r="G257" s="3"/>
    </row>
    <row r="258" spans="1:7">
      <c r="A258" s="9"/>
      <c r="B258" s="3"/>
      <c r="C258" s="3"/>
      <c r="D258" s="3"/>
      <c r="E258" s="3"/>
      <c r="F258" s="3"/>
      <c r="G258" s="3"/>
    </row>
    <row r="259" spans="1:7">
      <c r="A259" s="9"/>
      <c r="B259" s="3"/>
      <c r="C259" s="3"/>
      <c r="D259" s="3"/>
      <c r="E259" s="3"/>
      <c r="F259" s="3"/>
      <c r="G259" s="3"/>
    </row>
    <row r="260" spans="1:7">
      <c r="A260" s="9"/>
      <c r="B260" s="3"/>
      <c r="C260" s="3"/>
      <c r="D260" s="3"/>
      <c r="E260" s="3"/>
      <c r="F260" s="3"/>
      <c r="G260" s="3"/>
    </row>
    <row r="261" spans="1:7">
      <c r="A261" s="9"/>
      <c r="B261" s="3"/>
      <c r="C261" s="3"/>
      <c r="D261" s="3"/>
      <c r="E261" s="3"/>
      <c r="F261" s="3"/>
      <c r="G261" s="3"/>
    </row>
    <row r="262" spans="1:7">
      <c r="A262" s="9"/>
      <c r="B262" s="3"/>
      <c r="C262" s="3"/>
      <c r="D262" s="3"/>
      <c r="E262" s="3"/>
      <c r="F262" s="3"/>
      <c r="G262" s="3"/>
    </row>
    <row r="263" spans="1:7">
      <c r="A263" s="9"/>
      <c r="B263" s="3"/>
      <c r="C263" s="3"/>
      <c r="D263" s="3"/>
      <c r="E263" s="3"/>
      <c r="F263" s="3"/>
      <c r="G263" s="3"/>
    </row>
    <row r="264" spans="1:7">
      <c r="A264" s="9"/>
      <c r="B264" s="3"/>
      <c r="C264" s="3"/>
      <c r="D264" s="3"/>
      <c r="E264" s="3"/>
      <c r="F264" s="3"/>
      <c r="G264" s="3"/>
    </row>
    <row r="265" spans="1:7">
      <c r="A265" s="9"/>
      <c r="B265" s="3"/>
      <c r="C265" s="3"/>
      <c r="D265" s="3"/>
      <c r="E265" s="3"/>
      <c r="F265" s="3"/>
      <c r="G265" s="3"/>
    </row>
    <row r="266" spans="1:7">
      <c r="A266" s="9"/>
      <c r="B266" s="3"/>
      <c r="C266" s="3"/>
      <c r="D266" s="3"/>
      <c r="E266" s="3"/>
      <c r="F266" s="3"/>
      <c r="G266" s="3"/>
    </row>
    <row r="267" spans="1:7">
      <c r="A267" s="9"/>
      <c r="B267" s="3"/>
      <c r="C267" s="3"/>
      <c r="D267" s="3"/>
      <c r="E267" s="3"/>
      <c r="F267" s="3"/>
      <c r="G267" s="3"/>
    </row>
    <row r="268" spans="1:7">
      <c r="A268" s="9"/>
      <c r="B268" s="3"/>
      <c r="C268" s="3"/>
      <c r="D268" s="3"/>
      <c r="E268" s="3"/>
      <c r="F268" s="3"/>
      <c r="G268" s="3"/>
    </row>
    <row r="269" spans="1:7">
      <c r="A269" s="9"/>
      <c r="B269" s="3"/>
      <c r="C269" s="3"/>
      <c r="D269" s="3"/>
      <c r="E269" s="3"/>
      <c r="F269" s="3"/>
      <c r="G269" s="3"/>
    </row>
    <row r="270" spans="1:7">
      <c r="A270" s="9"/>
      <c r="B270" s="3"/>
      <c r="C270" s="3"/>
      <c r="D270" s="3"/>
      <c r="E270" s="3"/>
      <c r="F270" s="3"/>
      <c r="G270" s="3"/>
    </row>
    <row r="271" spans="1:7">
      <c r="A271" s="9"/>
      <c r="B271" s="3"/>
      <c r="C271" s="3"/>
      <c r="D271" s="3"/>
      <c r="E271" s="3"/>
      <c r="F271" s="3"/>
      <c r="G271" s="3"/>
    </row>
    <row r="272" spans="1:7">
      <c r="A272" s="9"/>
      <c r="B272" s="3"/>
      <c r="C272" s="3"/>
      <c r="D272" s="3"/>
      <c r="E272" s="3"/>
      <c r="F272" s="3"/>
      <c r="G272" s="3"/>
    </row>
    <row r="273" spans="1:7">
      <c r="A273" s="9"/>
      <c r="B273" s="3"/>
      <c r="C273" s="3"/>
      <c r="D273" s="3"/>
      <c r="E273" s="3"/>
      <c r="F273" s="3"/>
      <c r="G273" s="3"/>
    </row>
    <row r="274" spans="1:7">
      <c r="A274" s="9"/>
      <c r="B274" s="3"/>
      <c r="C274" s="3"/>
      <c r="D274" s="3"/>
      <c r="E274" s="3"/>
      <c r="F274" s="3"/>
      <c r="G274" s="3"/>
    </row>
    <row r="275" spans="1:7">
      <c r="A275" s="9"/>
      <c r="B275" s="3"/>
      <c r="C275" s="3"/>
      <c r="D275" s="3"/>
      <c r="E275" s="3"/>
      <c r="F275" s="3"/>
      <c r="G275" s="3"/>
    </row>
    <row r="276" spans="1:7">
      <c r="A276" s="9"/>
      <c r="B276" s="3"/>
      <c r="C276" s="3"/>
      <c r="D276" s="3"/>
      <c r="E276" s="3"/>
      <c r="F276" s="3"/>
      <c r="G276" s="3"/>
    </row>
    <row r="277" spans="1:7">
      <c r="A277" s="9"/>
      <c r="B277" s="3"/>
      <c r="C277" s="3"/>
      <c r="D277" s="3"/>
      <c r="E277" s="3"/>
      <c r="F277" s="3"/>
      <c r="G277" s="3"/>
    </row>
    <row r="278" spans="1:7">
      <c r="A278" s="9"/>
      <c r="B278" s="3"/>
      <c r="C278" s="3"/>
      <c r="D278" s="3"/>
      <c r="E278" s="3"/>
      <c r="F278" s="3"/>
      <c r="G278" s="3"/>
    </row>
    <row r="279" spans="1:7">
      <c r="A279" s="9"/>
      <c r="B279" s="3"/>
      <c r="C279" s="3"/>
      <c r="D279" s="3"/>
      <c r="E279" s="3"/>
      <c r="F279" s="3"/>
      <c r="G279" s="3"/>
    </row>
    <row r="280" spans="1:7">
      <c r="A280" s="9"/>
      <c r="B280" s="3"/>
      <c r="C280" s="3"/>
      <c r="D280" s="3"/>
      <c r="E280" s="3"/>
      <c r="F280" s="3"/>
      <c r="G280" s="3"/>
    </row>
    <row r="281" spans="1:7">
      <c r="A281" s="9"/>
      <c r="B281" s="3"/>
      <c r="C281" s="3"/>
      <c r="D281" s="3"/>
      <c r="E281" s="3"/>
      <c r="F281" s="3"/>
      <c r="G281" s="3"/>
    </row>
    <row r="282" spans="1:7">
      <c r="A282" s="9"/>
      <c r="B282" s="3"/>
      <c r="C282" s="3"/>
      <c r="D282" s="3"/>
      <c r="E282" s="3"/>
      <c r="F282" s="3"/>
      <c r="G282" s="3"/>
    </row>
    <row r="283" spans="1:7">
      <c r="A283" s="9"/>
      <c r="B283" s="3"/>
      <c r="C283" s="3"/>
      <c r="D283" s="3"/>
      <c r="E283" s="3"/>
      <c r="F283" s="3"/>
      <c r="G283" s="3"/>
    </row>
    <row r="284" spans="1:7">
      <c r="A284" s="9"/>
      <c r="B284" s="3"/>
      <c r="C284" s="3"/>
      <c r="D284" s="3"/>
      <c r="E284" s="3"/>
      <c r="F284" s="3"/>
      <c r="G284" s="3"/>
    </row>
    <row r="285" spans="1:7">
      <c r="A285" s="9"/>
      <c r="B285" s="3"/>
      <c r="C285" s="3"/>
      <c r="D285" s="3"/>
      <c r="E285" s="3"/>
      <c r="F285" s="3"/>
      <c r="G285" s="3"/>
    </row>
    <row r="286" spans="1:7">
      <c r="A286" s="9"/>
      <c r="B286" s="3"/>
      <c r="C286" s="3"/>
      <c r="D286" s="3"/>
      <c r="E286" s="3"/>
      <c r="F286" s="3"/>
      <c r="G286" s="3"/>
    </row>
    <row r="287" spans="1:7">
      <c r="A287" s="9"/>
      <c r="B287" s="3"/>
      <c r="C287" s="3"/>
      <c r="D287" s="3"/>
      <c r="E287" s="3"/>
      <c r="F287" s="3"/>
      <c r="G287" s="3"/>
    </row>
    <row r="288" spans="1:7">
      <c r="A288" s="9"/>
      <c r="B288" s="3"/>
      <c r="C288" s="3"/>
      <c r="D288" s="3"/>
      <c r="E288" s="3"/>
      <c r="F288" s="3"/>
      <c r="G288" s="3"/>
    </row>
    <row r="289" spans="1:7">
      <c r="A289" s="9"/>
      <c r="B289" s="3"/>
      <c r="C289" s="3"/>
      <c r="D289" s="3"/>
      <c r="E289" s="3"/>
      <c r="F289" s="3"/>
      <c r="G289" s="3"/>
    </row>
    <row r="290" spans="1:7">
      <c r="A290" s="9"/>
      <c r="B290" s="3"/>
      <c r="C290" s="3"/>
      <c r="D290" s="3"/>
      <c r="E290" s="3"/>
      <c r="F290" s="3"/>
      <c r="G290" s="3"/>
    </row>
    <row r="291" spans="1:7">
      <c r="A291" s="9"/>
      <c r="B291" s="3"/>
      <c r="C291" s="3"/>
      <c r="D291" s="3"/>
      <c r="E291" s="3"/>
      <c r="F291" s="3"/>
      <c r="G291" s="3"/>
    </row>
    <row r="292" spans="1:7">
      <c r="A292" s="9"/>
      <c r="B292" s="3"/>
      <c r="C292" s="3"/>
      <c r="D292" s="3"/>
      <c r="E292" s="3"/>
      <c r="F292" s="3"/>
      <c r="G292" s="3"/>
    </row>
    <row r="293" spans="1:7">
      <c r="A293" s="9"/>
      <c r="B293" s="3"/>
      <c r="C293" s="3"/>
      <c r="D293" s="3"/>
      <c r="E293" s="3"/>
      <c r="F293" s="3"/>
      <c r="G293" s="3"/>
    </row>
    <row r="294" spans="1:7">
      <c r="A294" s="9"/>
      <c r="B294" s="3"/>
      <c r="C294" s="3"/>
      <c r="D294" s="3"/>
      <c r="E294" s="3"/>
      <c r="F294" s="3"/>
      <c r="G294" s="3"/>
    </row>
    <row r="295" spans="1:7">
      <c r="A295" s="9"/>
      <c r="B295" s="3"/>
      <c r="C295" s="3"/>
      <c r="D295" s="3"/>
      <c r="E295" s="3"/>
      <c r="F295" s="3"/>
      <c r="G295" s="3"/>
    </row>
    <row r="296" spans="1:7">
      <c r="A296" s="9"/>
      <c r="B296" s="3"/>
      <c r="C296" s="3"/>
      <c r="D296" s="3"/>
      <c r="E296" s="3"/>
      <c r="F296" s="3"/>
      <c r="G296" s="3"/>
    </row>
    <row r="297" spans="1:7">
      <c r="A297" s="9"/>
      <c r="B297" s="3"/>
      <c r="C297" s="3"/>
      <c r="D297" s="3"/>
      <c r="E297" s="3"/>
      <c r="F297" s="3"/>
      <c r="G297" s="3"/>
    </row>
    <row r="298" spans="1:7">
      <c r="A298" s="9"/>
      <c r="B298" s="3"/>
      <c r="C298" s="3"/>
      <c r="D298" s="3"/>
      <c r="E298" s="3"/>
      <c r="F298" s="3"/>
      <c r="G298" s="3"/>
    </row>
    <row r="299" spans="1:7">
      <c r="A299" s="9"/>
      <c r="B299" s="3"/>
      <c r="C299" s="3"/>
      <c r="D299" s="3"/>
      <c r="E299" s="3"/>
      <c r="F299" s="3"/>
      <c r="G299" s="3"/>
    </row>
    <row r="300" spans="1:7">
      <c r="A300" s="9"/>
      <c r="B300" s="3"/>
      <c r="C300" s="3"/>
      <c r="D300" s="3"/>
      <c r="E300" s="3"/>
      <c r="F300" s="3"/>
      <c r="G300" s="3"/>
    </row>
    <row r="301" spans="1:7">
      <c r="A301" s="9"/>
      <c r="B301" s="3"/>
      <c r="C301" s="3"/>
      <c r="D301" s="3"/>
      <c r="E301" s="3"/>
      <c r="F301" s="3"/>
      <c r="G301" s="3"/>
    </row>
    <row r="302" spans="1:7">
      <c r="A302" s="9"/>
      <c r="B302" s="3"/>
      <c r="C302" s="3"/>
      <c r="D302" s="3"/>
      <c r="E302" s="3"/>
      <c r="F302" s="3"/>
      <c r="G302" s="3"/>
    </row>
    <row r="303" spans="1:7">
      <c r="A303" s="9"/>
      <c r="B303" s="3"/>
      <c r="C303" s="3"/>
      <c r="D303" s="3"/>
      <c r="E303" s="3"/>
      <c r="F303" s="3"/>
      <c r="G303" s="3"/>
    </row>
    <row r="304" spans="1:7">
      <c r="A304" s="9"/>
      <c r="B304" s="3"/>
      <c r="C304" s="3"/>
      <c r="D304" s="3"/>
      <c r="E304" s="3"/>
      <c r="F304" s="3"/>
      <c r="G304" s="3"/>
    </row>
    <row r="305" spans="1:7">
      <c r="A305" s="9"/>
      <c r="B305" s="3"/>
      <c r="C305" s="3"/>
      <c r="D305" s="3"/>
      <c r="E305" s="3"/>
      <c r="F305" s="3"/>
      <c r="G305" s="3"/>
    </row>
    <row r="306" spans="1:7">
      <c r="A306" s="9"/>
      <c r="B306" s="3"/>
      <c r="C306" s="3"/>
      <c r="D306" s="3"/>
      <c r="E306" s="3"/>
      <c r="F306" s="3"/>
      <c r="G306" s="3"/>
    </row>
    <row r="307" spans="1:7">
      <c r="A307" s="9"/>
      <c r="B307" s="3"/>
      <c r="C307" s="3"/>
      <c r="D307" s="3"/>
      <c r="E307" s="3"/>
      <c r="F307" s="3"/>
      <c r="G307" s="3"/>
    </row>
    <row r="308" spans="1:7">
      <c r="A308" s="9"/>
      <c r="B308" s="3"/>
      <c r="C308" s="3"/>
      <c r="D308" s="3"/>
      <c r="E308" s="3"/>
      <c r="F308" s="3"/>
      <c r="G308" s="3"/>
    </row>
    <row r="309" spans="1:7">
      <c r="A309" s="9"/>
      <c r="B309" s="3"/>
      <c r="C309" s="3"/>
      <c r="D309" s="3"/>
      <c r="E309" s="3"/>
      <c r="F309" s="3"/>
      <c r="G309" s="3"/>
    </row>
    <row r="310" spans="1:7">
      <c r="A310" s="9"/>
      <c r="B310" s="3"/>
      <c r="C310" s="3"/>
      <c r="D310" s="3"/>
      <c r="E310" s="3"/>
      <c r="F310" s="3"/>
      <c r="G310" s="3"/>
    </row>
    <row r="311" spans="1:7">
      <c r="A311" s="9"/>
      <c r="B311" s="3"/>
      <c r="C311" s="3"/>
      <c r="D311" s="3"/>
      <c r="E311" s="3"/>
      <c r="F311" s="3"/>
      <c r="G311" s="3"/>
    </row>
    <row r="312" spans="1:7">
      <c r="A312" s="9"/>
      <c r="B312" s="3"/>
      <c r="C312" s="3"/>
      <c r="D312" s="3"/>
      <c r="E312" s="3"/>
      <c r="F312" s="3"/>
      <c r="G312" s="3"/>
    </row>
    <row r="313" spans="1:7">
      <c r="A313" s="9"/>
      <c r="B313" s="3"/>
      <c r="C313" s="3"/>
      <c r="D313" s="3"/>
      <c r="E313" s="3"/>
      <c r="F313" s="3"/>
      <c r="G313" s="3"/>
    </row>
    <row r="314" spans="1:7">
      <c r="A314" s="9"/>
      <c r="B314" s="3"/>
      <c r="C314" s="3"/>
      <c r="D314" s="3"/>
      <c r="E314" s="3"/>
      <c r="F314" s="3"/>
      <c r="G314" s="3"/>
    </row>
    <row r="315" spans="1:7">
      <c r="A315" s="9"/>
      <c r="B315" s="3"/>
      <c r="C315" s="3"/>
      <c r="D315" s="3"/>
      <c r="E315" s="3"/>
      <c r="F315" s="3"/>
      <c r="G315" s="3"/>
    </row>
    <row r="316" spans="1:7">
      <c r="A316" s="9"/>
      <c r="B316" s="3"/>
      <c r="C316" s="3"/>
      <c r="D316" s="3"/>
      <c r="E316" s="3"/>
      <c r="F316" s="3"/>
      <c r="G316" s="3"/>
    </row>
    <row r="317" spans="1:7">
      <c r="A317" s="9"/>
      <c r="B317" s="3"/>
      <c r="C317" s="3"/>
      <c r="D317" s="3"/>
      <c r="E317" s="3"/>
      <c r="F317" s="3"/>
      <c r="G317" s="3"/>
    </row>
    <row r="318" spans="1:7">
      <c r="A318" s="9"/>
      <c r="B318" s="3"/>
      <c r="C318" s="3"/>
      <c r="D318" s="3"/>
      <c r="E318" s="3"/>
      <c r="F318" s="3"/>
      <c r="G318" s="3"/>
    </row>
    <row r="319" spans="1:7">
      <c r="A319" s="9"/>
      <c r="B319" s="3"/>
      <c r="C319" s="3"/>
      <c r="D319" s="3"/>
      <c r="E319" s="3"/>
      <c r="F319" s="3"/>
      <c r="G319" s="3"/>
    </row>
    <row r="320" spans="1:7">
      <c r="A320" s="9"/>
      <c r="B320" s="3"/>
      <c r="C320" s="3"/>
      <c r="D320" s="3"/>
      <c r="E320" s="3"/>
      <c r="F320" s="3"/>
      <c r="G320" s="3"/>
    </row>
    <row r="321" spans="1:7">
      <c r="A321" s="9"/>
      <c r="B321" s="3"/>
      <c r="C321" s="3"/>
      <c r="D321" s="3"/>
      <c r="E321" s="3"/>
      <c r="F321" s="3"/>
      <c r="G321" s="3"/>
    </row>
    <row r="322" spans="1:7">
      <c r="A322" s="9"/>
      <c r="B322" s="3"/>
      <c r="C322" s="3"/>
      <c r="D322" s="3"/>
      <c r="E322" s="3"/>
      <c r="F322" s="3"/>
      <c r="G322" s="3"/>
    </row>
    <row r="323" spans="1:7">
      <c r="A323" s="9"/>
      <c r="B323" s="3"/>
      <c r="C323" s="3"/>
      <c r="D323" s="3"/>
      <c r="E323" s="3"/>
      <c r="F323" s="3"/>
      <c r="G323" s="3"/>
    </row>
    <row r="324" spans="1:7">
      <c r="A324" s="9"/>
      <c r="B324" s="3"/>
      <c r="C324" s="3"/>
      <c r="D324" s="3"/>
      <c r="E324" s="3"/>
      <c r="F324" s="3"/>
      <c r="G324" s="3"/>
    </row>
    <row r="325" spans="1:7">
      <c r="A325" s="9"/>
      <c r="B325" s="3"/>
      <c r="C325" s="3"/>
      <c r="D325" s="3"/>
      <c r="E325" s="3"/>
      <c r="F325" s="3"/>
      <c r="G325" s="3"/>
    </row>
    <row r="326" spans="1:7">
      <c r="A326" s="9"/>
      <c r="B326" s="3"/>
      <c r="C326" s="3"/>
      <c r="D326" s="3"/>
      <c r="E326" s="3"/>
      <c r="F326" s="3"/>
      <c r="G326" s="3"/>
    </row>
    <row r="327" spans="1:7">
      <c r="A327" s="9"/>
      <c r="B327" s="3"/>
      <c r="C327" s="3"/>
      <c r="D327" s="3"/>
      <c r="E327" s="3"/>
      <c r="F327" s="3"/>
      <c r="G327" s="3"/>
    </row>
    <row r="328" spans="1:7">
      <c r="A328" s="9"/>
      <c r="B328" s="3"/>
      <c r="C328" s="3"/>
      <c r="D328" s="3"/>
      <c r="E328" s="3"/>
      <c r="F328" s="3"/>
      <c r="G328" s="3"/>
    </row>
    <row r="329" spans="1:7">
      <c r="A329" s="9"/>
      <c r="B329" s="3"/>
      <c r="C329" s="3"/>
      <c r="D329" s="3"/>
      <c r="E329" s="3"/>
      <c r="F329" s="3"/>
      <c r="G329" s="3"/>
    </row>
    <row r="330" spans="1:7">
      <c r="A330" s="9"/>
      <c r="B330" s="3"/>
      <c r="C330" s="3"/>
      <c r="D330" s="3"/>
      <c r="E330" s="3"/>
      <c r="F330" s="3"/>
      <c r="G330" s="3"/>
    </row>
    <row r="331" spans="1:7">
      <c r="A331" s="9"/>
      <c r="B331" s="3"/>
      <c r="C331" s="3"/>
      <c r="D331" s="3"/>
      <c r="E331" s="3"/>
      <c r="F331" s="3"/>
      <c r="G331" s="3"/>
    </row>
    <row r="332" spans="1:7">
      <c r="A332" s="9"/>
      <c r="B332" s="3"/>
      <c r="C332" s="3"/>
      <c r="D332" s="3"/>
      <c r="E332" s="3"/>
      <c r="F332" s="3"/>
      <c r="G332" s="3"/>
    </row>
    <row r="333" spans="1:7">
      <c r="A333" s="9"/>
      <c r="B333" s="3"/>
      <c r="C333" s="3"/>
      <c r="D333" s="3"/>
      <c r="E333" s="3"/>
      <c r="F333" s="3"/>
      <c r="G333" s="3"/>
    </row>
    <row r="334" spans="1:7">
      <c r="A334" s="9"/>
      <c r="B334" s="3"/>
      <c r="C334" s="3"/>
      <c r="D334" s="3"/>
      <c r="E334" s="3"/>
      <c r="F334" s="3"/>
      <c r="G334" s="3"/>
    </row>
    <row r="335" spans="1:7">
      <c r="A335" s="9"/>
      <c r="B335" s="3"/>
      <c r="C335" s="3"/>
      <c r="D335" s="3"/>
      <c r="E335" s="3"/>
      <c r="F335" s="3"/>
      <c r="G335" s="3"/>
    </row>
    <row r="336" spans="1:7">
      <c r="A336" s="9"/>
      <c r="B336" s="3"/>
      <c r="C336" s="3"/>
      <c r="D336" s="3"/>
      <c r="E336" s="3"/>
      <c r="F336" s="3"/>
      <c r="G336" s="3"/>
    </row>
    <row r="337" spans="1:7">
      <c r="A337" s="9"/>
      <c r="B337" s="3"/>
      <c r="C337" s="3"/>
      <c r="D337" s="3"/>
      <c r="E337" s="3"/>
      <c r="F337" s="3"/>
      <c r="G337" s="3"/>
    </row>
    <row r="338" spans="1:7">
      <c r="A338" s="9"/>
      <c r="B338" s="3"/>
      <c r="C338" s="3"/>
      <c r="D338" s="3"/>
      <c r="E338" s="3"/>
      <c r="F338" s="3"/>
      <c r="G338" s="3"/>
    </row>
    <row r="339" spans="1:7">
      <c r="A339" s="9"/>
      <c r="B339" s="3"/>
      <c r="C339" s="3"/>
      <c r="D339" s="3"/>
      <c r="E339" s="3"/>
      <c r="F339" s="3"/>
      <c r="G339" s="3"/>
    </row>
    <row r="340" spans="1:7">
      <c r="A340" s="9"/>
      <c r="B340" s="3"/>
      <c r="C340" s="3"/>
      <c r="D340" s="3"/>
      <c r="E340" s="3"/>
      <c r="F340" s="3"/>
      <c r="G340" s="3"/>
    </row>
    <row r="341" spans="1:7">
      <c r="A341" s="9"/>
      <c r="B341" s="3"/>
      <c r="C341" s="3"/>
      <c r="D341" s="3"/>
      <c r="E341" s="3"/>
      <c r="F341" s="3"/>
      <c r="G341" s="3"/>
    </row>
    <row r="342" spans="1:7">
      <c r="A342" s="9"/>
      <c r="B342" s="3"/>
      <c r="C342" s="3"/>
      <c r="D342" s="3"/>
      <c r="E342" s="3"/>
      <c r="F342" s="3"/>
      <c r="G342" s="3"/>
    </row>
    <row r="343" spans="1:7">
      <c r="A343" s="9"/>
      <c r="B343" s="3"/>
      <c r="C343" s="3"/>
      <c r="D343" s="3"/>
      <c r="E343" s="3"/>
      <c r="F343" s="3"/>
      <c r="G343" s="3"/>
    </row>
    <row r="344" spans="1:7">
      <c r="A344" s="9"/>
      <c r="B344" s="3"/>
      <c r="C344" s="3"/>
      <c r="D344" s="3"/>
      <c r="E344" s="3"/>
      <c r="F344" s="3"/>
      <c r="G344" s="3"/>
    </row>
    <row r="345" spans="1:7">
      <c r="A345" s="9"/>
      <c r="B345" s="3"/>
      <c r="C345" s="3"/>
      <c r="D345" s="3"/>
      <c r="E345" s="3"/>
      <c r="F345" s="3"/>
      <c r="G345" s="3"/>
    </row>
    <row r="346" spans="1:7">
      <c r="A346" s="9"/>
      <c r="B346" s="3"/>
      <c r="C346" s="3"/>
      <c r="D346" s="3"/>
      <c r="E346" s="3"/>
      <c r="F346" s="3"/>
      <c r="G346" s="3"/>
    </row>
    <row r="347" spans="1:7">
      <c r="A347" s="9"/>
      <c r="B347" s="3"/>
      <c r="C347" s="3"/>
      <c r="D347" s="3"/>
      <c r="E347" s="3"/>
      <c r="F347" s="3"/>
      <c r="G347" s="3"/>
    </row>
    <row r="348" spans="1:7">
      <c r="A348" s="9"/>
      <c r="B348" s="3"/>
      <c r="C348" s="3"/>
      <c r="D348" s="3"/>
      <c r="E348" s="3"/>
      <c r="F348" s="3"/>
      <c r="G348" s="3"/>
    </row>
    <row r="349" spans="1:7">
      <c r="A349" s="9"/>
      <c r="B349" s="3"/>
      <c r="C349" s="3"/>
      <c r="D349" s="3"/>
      <c r="E349" s="3"/>
      <c r="F349" s="3"/>
      <c r="G349" s="3"/>
    </row>
    <row r="350" spans="1:7">
      <c r="A350" s="9"/>
      <c r="B350" s="3"/>
      <c r="C350" s="3"/>
      <c r="D350" s="3"/>
      <c r="E350" s="3"/>
      <c r="F350" s="3"/>
      <c r="G350" s="3"/>
    </row>
    <row r="351" spans="1:7">
      <c r="A351" s="9"/>
      <c r="B351" s="3"/>
      <c r="C351" s="3"/>
      <c r="D351" s="3"/>
      <c r="E351" s="3"/>
      <c r="F351" s="3"/>
      <c r="G351" s="3"/>
    </row>
    <row r="352" spans="1:7">
      <c r="A352" s="9"/>
      <c r="B352" s="3"/>
      <c r="C352" s="3"/>
      <c r="D352" s="3"/>
      <c r="E352" s="3"/>
      <c r="F352" s="3"/>
      <c r="G352" s="3"/>
    </row>
    <row r="353" spans="1:7">
      <c r="A353" s="9"/>
      <c r="B353" s="3"/>
      <c r="C353" s="3"/>
      <c r="D353" s="3"/>
      <c r="E353" s="3"/>
      <c r="F353" s="3"/>
      <c r="G353" s="3"/>
    </row>
    <row r="354" spans="1:7">
      <c r="A354" s="9"/>
      <c r="B354" s="3"/>
      <c r="C354" s="3"/>
      <c r="D354" s="3"/>
      <c r="E354" s="3"/>
      <c r="F354" s="3"/>
      <c r="G354" s="3"/>
    </row>
    <row r="355" spans="1:7">
      <c r="A355" s="9"/>
      <c r="B355" s="3"/>
      <c r="C355" s="3"/>
      <c r="D355" s="3"/>
      <c r="E355" s="3"/>
      <c r="F355" s="3"/>
      <c r="G355" s="3"/>
    </row>
    <row r="356" spans="1:7">
      <c r="A356" s="9"/>
      <c r="B356" s="3"/>
      <c r="C356" s="3"/>
      <c r="D356" s="3"/>
      <c r="E356" s="3"/>
      <c r="F356" s="3"/>
      <c r="G356" s="3"/>
    </row>
    <row r="357" spans="1:7">
      <c r="A357" s="9"/>
      <c r="B357" s="3"/>
      <c r="C357" s="3"/>
      <c r="D357" s="3"/>
      <c r="E357" s="3"/>
      <c r="F357" s="3"/>
      <c r="G357" s="3"/>
    </row>
    <row r="358" spans="1:7">
      <c r="A358" s="9"/>
      <c r="B358" s="3"/>
      <c r="C358" s="3"/>
      <c r="D358" s="3"/>
      <c r="E358" s="3"/>
      <c r="F358" s="3"/>
      <c r="G358" s="3"/>
    </row>
    <row r="359" spans="1:7">
      <c r="A359" s="9"/>
      <c r="B359" s="3"/>
      <c r="C359" s="3"/>
      <c r="D359" s="3"/>
      <c r="E359" s="3"/>
      <c r="F359" s="3"/>
      <c r="G359" s="3"/>
    </row>
    <row r="360" spans="1:7">
      <c r="A360" s="9"/>
      <c r="B360" s="3"/>
      <c r="C360" s="3"/>
      <c r="D360" s="3"/>
      <c r="E360" s="3"/>
      <c r="F360" s="3"/>
      <c r="G360" s="3"/>
    </row>
    <row r="361" spans="1:7">
      <c r="A361" s="9"/>
      <c r="B361" s="3"/>
      <c r="C361" s="3"/>
      <c r="D361" s="3"/>
      <c r="E361" s="3"/>
      <c r="F361" s="3"/>
      <c r="G361" s="3"/>
    </row>
    <row r="362" spans="1:7">
      <c r="A362" s="9"/>
      <c r="B362" s="3"/>
      <c r="C362" s="3"/>
      <c r="D362" s="3"/>
      <c r="E362" s="3"/>
      <c r="F362" s="3"/>
      <c r="G362" s="3"/>
    </row>
    <row r="363" spans="1:7">
      <c r="A363" s="9"/>
      <c r="B363" s="3"/>
      <c r="C363" s="3"/>
      <c r="D363" s="3"/>
      <c r="E363" s="3"/>
      <c r="F363" s="3"/>
      <c r="G363" s="3"/>
    </row>
    <row r="364" spans="1:7">
      <c r="A364" s="9"/>
      <c r="B364" s="3"/>
      <c r="C364" s="3"/>
      <c r="D364" s="3"/>
      <c r="E364" s="3"/>
      <c r="F364" s="3"/>
      <c r="G364" s="3"/>
    </row>
    <row r="365" spans="1:7">
      <c r="A365" s="9"/>
      <c r="B365" s="3"/>
      <c r="C365" s="3"/>
      <c r="D365" s="3"/>
      <c r="E365" s="3"/>
      <c r="F365" s="3"/>
      <c r="G365" s="3"/>
    </row>
    <row r="366" spans="1:7">
      <c r="A366" s="9"/>
      <c r="B366" s="3"/>
      <c r="C366" s="3"/>
      <c r="D366" s="3"/>
      <c r="E366" s="3"/>
      <c r="F366" s="3"/>
      <c r="G366" s="3"/>
    </row>
    <row r="367" spans="1:7">
      <c r="A367" s="9"/>
      <c r="B367" s="3"/>
      <c r="C367" s="3"/>
      <c r="D367" s="3"/>
      <c r="E367" s="3"/>
      <c r="F367" s="3"/>
      <c r="G367" s="3"/>
    </row>
    <row r="368" spans="1:7">
      <c r="A368" s="9"/>
      <c r="B368" s="3"/>
      <c r="C368" s="3"/>
      <c r="D368" s="3"/>
      <c r="E368" s="3"/>
      <c r="F368" s="3"/>
      <c r="G368" s="3"/>
    </row>
    <row r="369" spans="1:7">
      <c r="A369" s="9"/>
      <c r="B369" s="3"/>
      <c r="C369" s="3"/>
      <c r="D369" s="3"/>
      <c r="E369" s="3"/>
      <c r="F369" s="3"/>
      <c r="G369" s="3"/>
    </row>
    <row r="370" spans="1:7">
      <c r="A370" s="9"/>
      <c r="B370" s="3"/>
      <c r="C370" s="3"/>
      <c r="D370" s="3"/>
      <c r="E370" s="3"/>
      <c r="F370" s="3"/>
      <c r="G370" s="3"/>
    </row>
    <row r="371" spans="1:7">
      <c r="A371" s="9"/>
      <c r="B371" s="3"/>
      <c r="C371" s="3"/>
      <c r="D371" s="3"/>
      <c r="E371" s="3"/>
      <c r="F371" s="3"/>
      <c r="G371" s="3"/>
    </row>
    <row r="372" spans="1:7">
      <c r="A372" s="9"/>
      <c r="B372" s="3"/>
      <c r="C372" s="3"/>
      <c r="D372" s="3"/>
      <c r="E372" s="3"/>
      <c r="F372" s="3"/>
      <c r="G372" s="3"/>
    </row>
    <row r="373" spans="1:7">
      <c r="A373" s="9"/>
      <c r="B373" s="3"/>
      <c r="C373" s="3"/>
      <c r="D373" s="3"/>
      <c r="E373" s="3"/>
      <c r="F373" s="3"/>
      <c r="G373" s="3"/>
    </row>
    <row r="374" spans="1:7">
      <c r="A374" s="9"/>
      <c r="B374" s="3"/>
      <c r="C374" s="3"/>
      <c r="D374" s="3"/>
      <c r="E374" s="3"/>
      <c r="F374" s="3"/>
      <c r="G374" s="3"/>
    </row>
    <row r="375" spans="1:7">
      <c r="A375" s="9"/>
      <c r="B375" s="3"/>
      <c r="C375" s="3"/>
      <c r="D375" s="3"/>
      <c r="E375" s="3"/>
      <c r="F375" s="3"/>
      <c r="G375" s="3"/>
    </row>
    <row r="376" spans="1:7">
      <c r="A376" s="9"/>
      <c r="B376" s="3"/>
      <c r="C376" s="3"/>
      <c r="D376" s="3"/>
      <c r="E376" s="3"/>
      <c r="F376" s="3"/>
      <c r="G376" s="3"/>
    </row>
    <row r="377" spans="1:7">
      <c r="A377" s="9"/>
      <c r="B377" s="3"/>
      <c r="C377" s="3"/>
      <c r="D377" s="3"/>
      <c r="E377" s="3"/>
      <c r="F377" s="3"/>
      <c r="G377" s="3"/>
    </row>
    <row r="378" spans="1:7">
      <c r="A378" s="9"/>
      <c r="B378" s="3"/>
      <c r="C378" s="3"/>
      <c r="D378" s="3"/>
      <c r="E378" s="3"/>
      <c r="F378" s="3"/>
      <c r="G378" s="3"/>
    </row>
    <row r="379" spans="1:7">
      <c r="A379" s="9"/>
      <c r="B379" s="3"/>
      <c r="C379" s="3"/>
      <c r="D379" s="3"/>
      <c r="E379" s="3"/>
      <c r="F379" s="3"/>
      <c r="G379" s="3"/>
    </row>
    <row r="380" spans="1:7">
      <c r="A380" s="9"/>
      <c r="B380" s="3"/>
      <c r="C380" s="3"/>
      <c r="D380" s="3"/>
      <c r="E380" s="3"/>
      <c r="F380" s="3"/>
      <c r="G380" s="3"/>
    </row>
    <row r="381" spans="1:7">
      <c r="A381" s="9"/>
      <c r="B381" s="3"/>
      <c r="C381" s="3"/>
      <c r="D381" s="3"/>
      <c r="E381" s="3"/>
      <c r="F381" s="3"/>
      <c r="G381" s="3"/>
    </row>
    <row r="382" spans="1:7">
      <c r="A382" s="9"/>
      <c r="B382" s="3"/>
      <c r="C382" s="3"/>
      <c r="D382" s="3"/>
      <c r="E382" s="3"/>
      <c r="F382" s="3"/>
      <c r="G382" s="3"/>
    </row>
    <row r="383" spans="1:7">
      <c r="A383" s="9"/>
      <c r="B383" s="3"/>
      <c r="C383" s="3"/>
      <c r="D383" s="3"/>
      <c r="E383" s="3"/>
      <c r="F383" s="3"/>
      <c r="G383" s="3"/>
    </row>
    <row r="384" spans="1:7">
      <c r="A384" s="9"/>
      <c r="B384" s="3"/>
      <c r="C384" s="3"/>
      <c r="D384" s="3"/>
      <c r="E384" s="3"/>
      <c r="F384" s="3"/>
      <c r="G384" s="3"/>
    </row>
    <row r="385" spans="1:7">
      <c r="A385" s="9"/>
      <c r="B385" s="3"/>
      <c r="C385" s="3"/>
      <c r="D385" s="3"/>
      <c r="E385" s="3"/>
      <c r="F385" s="3"/>
      <c r="G385" s="3"/>
    </row>
    <row r="386" spans="1:7">
      <c r="A386" s="9"/>
      <c r="B386" s="3"/>
      <c r="C386" s="3"/>
      <c r="D386" s="3"/>
      <c r="E386" s="3"/>
      <c r="F386" s="3"/>
      <c r="G386" s="3"/>
    </row>
    <row r="387" spans="1:7">
      <c r="A387" s="9"/>
      <c r="B387" s="3"/>
      <c r="C387" s="3"/>
      <c r="D387" s="3"/>
      <c r="E387" s="3"/>
      <c r="F387" s="3"/>
      <c r="G387" s="3"/>
    </row>
    <row r="388" spans="1:7">
      <c r="A388" s="9"/>
      <c r="B388" s="3"/>
      <c r="C388" s="3"/>
      <c r="D388" s="3"/>
      <c r="E388" s="3"/>
      <c r="F388" s="3"/>
      <c r="G388" s="3"/>
    </row>
    <row r="389" spans="1:7">
      <c r="A389" s="9"/>
      <c r="B389" s="3"/>
      <c r="C389" s="3"/>
      <c r="D389" s="3"/>
      <c r="E389" s="3"/>
      <c r="F389" s="3"/>
      <c r="G389" s="3"/>
    </row>
    <row r="390" spans="1:7">
      <c r="A390" s="9"/>
      <c r="B390" s="3"/>
      <c r="C390" s="3"/>
      <c r="D390" s="3"/>
      <c r="E390" s="3"/>
      <c r="F390" s="3"/>
      <c r="G390" s="3"/>
    </row>
    <row r="391" spans="1:7">
      <c r="A391" s="9"/>
      <c r="B391" s="3"/>
      <c r="C391" s="3"/>
      <c r="D391" s="3"/>
      <c r="E391" s="3"/>
      <c r="F391" s="3"/>
      <c r="G391" s="3"/>
    </row>
    <row r="392" spans="1:7">
      <c r="A392" s="9"/>
      <c r="B392" s="3"/>
      <c r="C392" s="3"/>
      <c r="D392" s="3"/>
      <c r="E392" s="3"/>
      <c r="F392" s="3"/>
      <c r="G392" s="3"/>
    </row>
    <row r="393" spans="1:7">
      <c r="A393" s="9"/>
      <c r="B393" s="3"/>
      <c r="C393" s="3"/>
      <c r="D393" s="3"/>
      <c r="E393" s="3"/>
      <c r="F393" s="3"/>
      <c r="G393" s="3"/>
    </row>
    <row r="394" spans="1:7">
      <c r="A394" s="9"/>
      <c r="B394" s="3"/>
      <c r="C394" s="3"/>
      <c r="D394" s="3"/>
      <c r="E394" s="3"/>
      <c r="F394" s="3"/>
      <c r="G394" s="3"/>
    </row>
    <row r="395" spans="1:7">
      <c r="A395" s="9"/>
      <c r="B395" s="3"/>
      <c r="C395" s="3"/>
      <c r="D395" s="3"/>
      <c r="E395" s="3"/>
      <c r="F395" s="3"/>
      <c r="G395" s="3"/>
    </row>
    <row r="396" spans="1:7">
      <c r="A396" s="9"/>
      <c r="B396" s="3"/>
      <c r="C396" s="3"/>
      <c r="D396" s="3"/>
      <c r="E396" s="3"/>
      <c r="F396" s="3"/>
      <c r="G396" s="3"/>
    </row>
    <row r="397" spans="1:7">
      <c r="A397" s="9"/>
      <c r="B397" s="3"/>
      <c r="C397" s="3"/>
      <c r="D397" s="3"/>
      <c r="E397" s="3"/>
      <c r="F397" s="3"/>
      <c r="G397" s="3"/>
    </row>
    <row r="398" spans="1:7">
      <c r="A398" s="9"/>
      <c r="B398" s="3"/>
      <c r="C398" s="3"/>
      <c r="D398" s="3"/>
      <c r="E398" s="3"/>
      <c r="F398" s="3"/>
      <c r="G398" s="3"/>
    </row>
    <row r="399" spans="1:7">
      <c r="A399" s="9"/>
      <c r="B399" s="3"/>
      <c r="C399" s="3"/>
      <c r="D399" s="3"/>
      <c r="E399" s="3"/>
      <c r="F399" s="3"/>
      <c r="G399" s="3"/>
    </row>
    <row r="400" spans="1:7">
      <c r="A400" s="9"/>
      <c r="B400" s="3"/>
      <c r="C400" s="3"/>
      <c r="D400" s="3"/>
      <c r="E400" s="3"/>
      <c r="F400" s="3"/>
      <c r="G400" s="3"/>
    </row>
    <row r="401" spans="1:7">
      <c r="A401" s="9"/>
      <c r="B401" s="3"/>
      <c r="C401" s="3"/>
      <c r="D401" s="3"/>
      <c r="E401" s="3"/>
      <c r="F401" s="3"/>
      <c r="G401" s="3"/>
    </row>
    <row r="402" spans="1:7">
      <c r="A402" s="9"/>
      <c r="B402" s="3"/>
      <c r="C402" s="3"/>
      <c r="D402" s="3"/>
      <c r="E402" s="3"/>
      <c r="F402" s="3"/>
      <c r="G402" s="3"/>
    </row>
    <row r="403" spans="1:7">
      <c r="A403" s="9"/>
      <c r="B403" s="3"/>
      <c r="C403" s="3"/>
      <c r="D403" s="3"/>
      <c r="E403" s="3"/>
      <c r="F403" s="3"/>
      <c r="G403" s="3"/>
    </row>
    <row r="404" spans="1:7">
      <c r="A404" s="9"/>
      <c r="B404" s="3"/>
      <c r="C404" s="3"/>
      <c r="D404" s="3"/>
      <c r="E404" s="3"/>
      <c r="F404" s="3"/>
      <c r="G404" s="3"/>
    </row>
    <row r="405" spans="1:7">
      <c r="A405" s="9"/>
      <c r="B405" s="3"/>
      <c r="C405" s="3"/>
      <c r="D405" s="3"/>
      <c r="E405" s="3"/>
      <c r="F405" s="3"/>
      <c r="G405" s="3"/>
    </row>
    <row r="406" spans="1:7">
      <c r="A406" s="9"/>
      <c r="B406" s="3"/>
      <c r="C406" s="3"/>
      <c r="D406" s="3"/>
      <c r="E406" s="3"/>
      <c r="F406" s="3"/>
      <c r="G406" s="3"/>
    </row>
    <row r="407" spans="1:7">
      <c r="A407" s="9"/>
      <c r="B407" s="3"/>
      <c r="C407" s="3"/>
      <c r="D407" s="3"/>
      <c r="E407" s="3"/>
      <c r="F407" s="3"/>
      <c r="G407" s="3"/>
    </row>
    <row r="408" spans="1:7">
      <c r="A408" s="9"/>
      <c r="B408" s="3"/>
      <c r="C408" s="3"/>
      <c r="D408" s="3"/>
      <c r="E408" s="3"/>
      <c r="F408" s="3"/>
      <c r="G408" s="3"/>
    </row>
    <row r="409" spans="1:7">
      <c r="A409" s="9"/>
      <c r="B409" s="3"/>
      <c r="C409" s="3"/>
      <c r="D409" s="3"/>
      <c r="E409" s="3"/>
      <c r="F409" s="3"/>
      <c r="G409" s="3"/>
    </row>
    <row r="410" spans="1:7">
      <c r="A410" s="9"/>
      <c r="B410" s="3"/>
      <c r="C410" s="3"/>
      <c r="D410" s="3"/>
      <c r="E410" s="3"/>
      <c r="F410" s="3"/>
      <c r="G410" s="3"/>
    </row>
    <row r="411" spans="1:7">
      <c r="A411" s="9"/>
      <c r="B411" s="3"/>
      <c r="C411" s="3"/>
      <c r="D411" s="3"/>
      <c r="E411" s="3"/>
      <c r="F411" s="3"/>
      <c r="G411" s="3"/>
    </row>
    <row r="412" spans="1:7">
      <c r="A412" s="9"/>
      <c r="B412" s="3"/>
      <c r="C412" s="3"/>
      <c r="D412" s="3"/>
      <c r="E412" s="3"/>
      <c r="F412" s="3"/>
      <c r="G412" s="3"/>
    </row>
    <row r="413" spans="1:7">
      <c r="A413" s="9"/>
      <c r="B413" s="3"/>
      <c r="C413" s="3"/>
      <c r="D413" s="3"/>
      <c r="E413" s="3"/>
      <c r="F413" s="3"/>
      <c r="G413" s="3"/>
    </row>
    <row r="414" spans="1:7">
      <c r="A414" s="9"/>
      <c r="B414" s="3"/>
      <c r="C414" s="3"/>
      <c r="D414" s="3"/>
      <c r="E414" s="3"/>
      <c r="F414" s="3"/>
      <c r="G414" s="3"/>
    </row>
    <row r="415" spans="1:7">
      <c r="A415" s="9"/>
      <c r="B415" s="3"/>
      <c r="C415" s="3"/>
      <c r="D415" s="3"/>
      <c r="E415" s="3"/>
      <c r="F415" s="3"/>
      <c r="G415" s="3"/>
    </row>
    <row r="416" spans="1:7">
      <c r="A416" s="9"/>
      <c r="B416" s="3"/>
      <c r="C416" s="3"/>
      <c r="D416" s="3"/>
      <c r="E416" s="3"/>
      <c r="F416" s="3"/>
      <c r="G416" s="3"/>
    </row>
    <row r="417" spans="1:7">
      <c r="A417" s="9"/>
      <c r="B417" s="3"/>
      <c r="C417" s="3"/>
      <c r="D417" s="3"/>
      <c r="E417" s="3"/>
      <c r="F417" s="3"/>
      <c r="G417" s="3"/>
    </row>
    <row r="418" spans="1:7">
      <c r="A418" s="9"/>
      <c r="B418" s="3"/>
      <c r="C418" s="3"/>
      <c r="D418" s="3"/>
      <c r="E418" s="3"/>
      <c r="F418" s="3"/>
      <c r="G418" s="3"/>
    </row>
    <row r="419" spans="1:7">
      <c r="A419" s="9"/>
      <c r="B419" s="3"/>
      <c r="C419" s="3"/>
      <c r="D419" s="3"/>
      <c r="E419" s="3"/>
      <c r="F419" s="3"/>
      <c r="G419" s="3"/>
    </row>
    <row r="420" spans="1:7">
      <c r="A420" s="9"/>
      <c r="B420" s="3"/>
      <c r="C420" s="3"/>
      <c r="D420" s="3"/>
      <c r="E420" s="3"/>
      <c r="F420" s="3"/>
      <c r="G420" s="3"/>
    </row>
    <row r="421" spans="1:7">
      <c r="A421" s="9"/>
      <c r="B421" s="3"/>
      <c r="C421" s="3"/>
      <c r="D421" s="3"/>
      <c r="E421" s="3"/>
      <c r="F421" s="3"/>
      <c r="G421" s="3"/>
    </row>
    <row r="422" spans="1:7">
      <c r="A422" s="9"/>
      <c r="B422" s="3"/>
      <c r="C422" s="3"/>
      <c r="D422" s="3"/>
      <c r="E422" s="3"/>
      <c r="F422" s="3"/>
      <c r="G422" s="3"/>
    </row>
    <row r="423" spans="1:7">
      <c r="A423" s="9"/>
      <c r="B423" s="3"/>
      <c r="C423" s="3"/>
      <c r="D423" s="3"/>
      <c r="E423" s="3"/>
      <c r="F423" s="3"/>
      <c r="G423" s="3"/>
    </row>
    <row r="424" spans="1:7">
      <c r="A424" s="9"/>
      <c r="B424" s="3"/>
      <c r="C424" s="3"/>
      <c r="D424" s="3"/>
      <c r="E424" s="3"/>
      <c r="F424" s="3"/>
      <c r="G424" s="3"/>
    </row>
    <row r="425" spans="1:7">
      <c r="A425" s="9"/>
      <c r="B425" s="3"/>
      <c r="C425" s="3"/>
      <c r="D425" s="3"/>
      <c r="E425" s="3"/>
      <c r="F425" s="3"/>
      <c r="G425" s="3"/>
    </row>
    <row r="426" spans="1:7">
      <c r="A426" s="9"/>
      <c r="B426" s="3"/>
      <c r="C426" s="3"/>
      <c r="D426" s="3"/>
      <c r="E426" s="3"/>
      <c r="F426" s="3"/>
      <c r="G426" s="3"/>
    </row>
    <row r="427" spans="1:7">
      <c r="A427" s="9"/>
      <c r="B427" s="3"/>
      <c r="C427" s="3"/>
      <c r="D427" s="3"/>
      <c r="E427" s="3"/>
      <c r="F427" s="3"/>
      <c r="G427" s="3"/>
    </row>
    <row r="428" spans="1:7">
      <c r="A428" s="9"/>
      <c r="B428" s="3"/>
      <c r="C428" s="3"/>
      <c r="D428" s="3"/>
      <c r="E428" s="3"/>
      <c r="F428" s="3"/>
      <c r="G428" s="3"/>
    </row>
    <row r="429" spans="1:7">
      <c r="A429" s="9"/>
      <c r="B429" s="3"/>
      <c r="C429" s="3"/>
      <c r="D429" s="3"/>
      <c r="E429" s="3"/>
      <c r="F429" s="3"/>
      <c r="G429" s="3"/>
    </row>
    <row r="430" spans="1:7">
      <c r="A430" s="9"/>
      <c r="B430" s="3"/>
      <c r="C430" s="3"/>
      <c r="D430" s="3"/>
      <c r="E430" s="3"/>
      <c r="F430" s="3"/>
      <c r="G430" s="3"/>
    </row>
    <row r="431" spans="1:7">
      <c r="A431" s="9"/>
      <c r="B431" s="3"/>
      <c r="C431" s="3"/>
      <c r="D431" s="3"/>
      <c r="E431" s="3"/>
      <c r="F431" s="3"/>
      <c r="G431" s="3"/>
    </row>
    <row r="432" spans="1:7">
      <c r="A432" s="9"/>
      <c r="B432" s="3"/>
      <c r="C432" s="3"/>
      <c r="D432" s="3"/>
      <c r="E432" s="3"/>
      <c r="F432" s="3"/>
      <c r="G432" s="3"/>
    </row>
    <row r="433" spans="1:7">
      <c r="A433" s="9"/>
      <c r="B433" s="3"/>
      <c r="C433" s="3"/>
      <c r="D433" s="3"/>
      <c r="E433" s="3"/>
      <c r="F433" s="3"/>
      <c r="G433" s="3"/>
    </row>
    <row r="434" spans="1:7">
      <c r="A434" s="9"/>
      <c r="B434" s="3"/>
      <c r="C434" s="3"/>
      <c r="D434" s="3"/>
      <c r="E434" s="3"/>
      <c r="F434" s="3"/>
      <c r="G434" s="3"/>
    </row>
    <row r="435" spans="1:7">
      <c r="A435" s="9"/>
      <c r="B435" s="3"/>
      <c r="C435" s="3"/>
      <c r="D435" s="3"/>
      <c r="E435" s="3"/>
      <c r="F435" s="3"/>
      <c r="G435" s="3"/>
    </row>
    <row r="436" spans="1:7">
      <c r="A436" s="9"/>
      <c r="B436" s="3"/>
      <c r="C436" s="3"/>
      <c r="D436" s="3"/>
      <c r="E436" s="3"/>
      <c r="F436" s="3"/>
      <c r="G436" s="3"/>
    </row>
    <row r="437" spans="1:7">
      <c r="A437" s="9"/>
      <c r="B437" s="3"/>
      <c r="C437" s="3"/>
      <c r="D437" s="3"/>
      <c r="E437" s="3"/>
      <c r="F437" s="3"/>
      <c r="G437" s="3"/>
    </row>
    <row r="438" spans="1:7">
      <c r="A438" s="9"/>
      <c r="B438" s="3"/>
      <c r="C438" s="3"/>
      <c r="D438" s="3"/>
      <c r="E438" s="3"/>
      <c r="F438" s="3"/>
      <c r="G438" s="3"/>
    </row>
    <row r="439" spans="1:7">
      <c r="A439" s="9"/>
      <c r="B439" s="3"/>
      <c r="C439" s="3"/>
      <c r="D439" s="3"/>
      <c r="E439" s="3"/>
      <c r="F439" s="3"/>
      <c r="G439" s="3"/>
    </row>
    <row r="440" spans="1:7">
      <c r="A440" s="9"/>
      <c r="B440" s="3"/>
      <c r="C440" s="3"/>
      <c r="D440" s="3"/>
      <c r="E440" s="3"/>
      <c r="F440" s="3"/>
      <c r="G440" s="3"/>
    </row>
    <row r="441" spans="1:7">
      <c r="A441" s="9"/>
      <c r="B441" s="3"/>
      <c r="C441" s="3"/>
      <c r="D441" s="3"/>
      <c r="E441" s="3"/>
      <c r="F441" s="3"/>
      <c r="G441" s="3"/>
    </row>
    <row r="442" spans="1:7">
      <c r="A442" s="9"/>
      <c r="B442" s="3"/>
      <c r="C442" s="3"/>
      <c r="D442" s="3"/>
      <c r="E442" s="3"/>
      <c r="F442" s="3"/>
      <c r="G442" s="3"/>
    </row>
    <row r="443" spans="1:7">
      <c r="A443" s="9"/>
      <c r="B443" s="3"/>
      <c r="C443" s="3"/>
      <c r="D443" s="3"/>
      <c r="E443" s="3"/>
      <c r="F443" s="3"/>
      <c r="G443" s="3"/>
    </row>
    <row r="444" spans="1:7">
      <c r="A444" s="9"/>
      <c r="B444" s="3"/>
      <c r="C444" s="3"/>
      <c r="D444" s="3"/>
      <c r="E444" s="3"/>
      <c r="F444" s="3"/>
      <c r="G444" s="3"/>
    </row>
    <row r="445" spans="1:7">
      <c r="A445" s="9"/>
      <c r="B445" s="3"/>
      <c r="C445" s="3"/>
      <c r="D445" s="3"/>
      <c r="E445" s="3"/>
      <c r="F445" s="3"/>
      <c r="G445" s="3"/>
    </row>
    <row r="446" spans="1:7">
      <c r="A446" s="9"/>
      <c r="B446" s="3"/>
      <c r="C446" s="3"/>
      <c r="D446" s="3"/>
      <c r="E446" s="3"/>
      <c r="F446" s="3"/>
      <c r="G446" s="3"/>
    </row>
    <row r="447" spans="1:7">
      <c r="A447" s="9"/>
      <c r="B447" s="3"/>
      <c r="C447" s="3"/>
      <c r="D447" s="3"/>
      <c r="E447" s="3"/>
      <c r="F447" s="3"/>
      <c r="G447" s="3"/>
    </row>
    <row r="448" spans="1:7">
      <c r="A448" s="9"/>
      <c r="B448" s="3"/>
      <c r="C448" s="3"/>
      <c r="D448" s="3"/>
      <c r="E448" s="3"/>
      <c r="F448" s="3"/>
      <c r="G448" s="3"/>
    </row>
    <row r="449" spans="1:7">
      <c r="A449" s="9"/>
      <c r="B449" s="3"/>
      <c r="C449" s="3"/>
      <c r="D449" s="3"/>
      <c r="E449" s="3"/>
      <c r="F449" s="3"/>
      <c r="G449" s="3"/>
    </row>
    <row r="450" spans="1:7">
      <c r="A450" s="9"/>
      <c r="B450" s="3"/>
      <c r="C450" s="3"/>
      <c r="D450" s="3"/>
      <c r="E450" s="3"/>
      <c r="F450" s="3"/>
      <c r="G450" s="3"/>
    </row>
    <row r="451" spans="1:7">
      <c r="A451" s="9"/>
      <c r="B451" s="3"/>
      <c r="C451" s="3"/>
      <c r="D451" s="3"/>
      <c r="E451" s="3"/>
      <c r="F451" s="3"/>
      <c r="G451" s="3"/>
    </row>
    <row r="452" spans="1:7">
      <c r="A452" s="9"/>
      <c r="B452" s="3"/>
      <c r="C452" s="3"/>
      <c r="D452" s="3"/>
      <c r="E452" s="3"/>
      <c r="F452" s="3"/>
      <c r="G452" s="3"/>
    </row>
    <row r="453" spans="1:7">
      <c r="A453" s="9"/>
      <c r="B453" s="3"/>
      <c r="C453" s="3"/>
      <c r="D453" s="3"/>
      <c r="E453" s="3"/>
      <c r="F453" s="3"/>
      <c r="G453" s="3"/>
    </row>
    <row r="454" spans="1:7">
      <c r="A454" s="9"/>
      <c r="B454" s="3"/>
      <c r="C454" s="3"/>
      <c r="D454" s="3"/>
      <c r="E454" s="3"/>
      <c r="F454" s="3"/>
      <c r="G454" s="3"/>
    </row>
    <row r="455" spans="1:7">
      <c r="A455" s="9"/>
      <c r="B455" s="3"/>
      <c r="C455" s="3"/>
      <c r="D455" s="3"/>
      <c r="E455" s="3"/>
      <c r="F455" s="3"/>
      <c r="G455" s="3"/>
    </row>
    <row r="456" spans="1:7">
      <c r="A456" s="9"/>
      <c r="B456" s="3"/>
      <c r="C456" s="3"/>
      <c r="D456" s="3"/>
      <c r="E456" s="3"/>
      <c r="F456" s="3"/>
      <c r="G456" s="3"/>
    </row>
    <row r="457" spans="1:7">
      <c r="A457" s="9"/>
      <c r="B457" s="3"/>
      <c r="C457" s="3"/>
      <c r="D457" s="3"/>
      <c r="E457" s="3"/>
      <c r="F457" s="3"/>
      <c r="G457" s="3"/>
    </row>
    <row r="458" spans="1:7">
      <c r="A458" s="9"/>
      <c r="B458" s="3"/>
      <c r="C458" s="3"/>
      <c r="D458" s="3"/>
      <c r="E458" s="3"/>
      <c r="F458" s="3"/>
      <c r="G458" s="3"/>
    </row>
    <row r="459" spans="1:7">
      <c r="A459" s="9"/>
      <c r="B459" s="3"/>
      <c r="C459" s="3"/>
      <c r="D459" s="3"/>
      <c r="E459" s="3"/>
      <c r="F459" s="3"/>
      <c r="G459" s="3"/>
    </row>
    <row r="460" spans="1:7">
      <c r="A460" s="9"/>
      <c r="B460" s="3"/>
      <c r="C460" s="3"/>
      <c r="D460" s="3"/>
      <c r="E460" s="3"/>
      <c r="F460" s="3"/>
      <c r="G460" s="3"/>
    </row>
    <row r="461" spans="1:7">
      <c r="A461" s="9"/>
      <c r="B461" s="3"/>
      <c r="C461" s="3"/>
      <c r="D461" s="3"/>
      <c r="E461" s="3"/>
      <c r="F461" s="3"/>
      <c r="G461" s="3"/>
    </row>
    <row r="462" spans="1:7">
      <c r="A462" s="9"/>
      <c r="B462" s="3"/>
      <c r="C462" s="3"/>
      <c r="D462" s="3"/>
      <c r="E462" s="3"/>
      <c r="F462" s="3"/>
      <c r="G462" s="3"/>
    </row>
    <row r="463" spans="1:7">
      <c r="A463" s="9"/>
      <c r="B463" s="3"/>
      <c r="C463" s="3"/>
      <c r="D463" s="3"/>
      <c r="E463" s="3"/>
      <c r="F463" s="3"/>
      <c r="G463" s="3"/>
    </row>
    <row r="464" spans="1:7">
      <c r="A464" s="9"/>
      <c r="B464" s="3"/>
      <c r="C464" s="3"/>
      <c r="D464" s="3"/>
      <c r="E464" s="3"/>
      <c r="F464" s="3"/>
      <c r="G464" s="3"/>
    </row>
    <row r="465" spans="1:7">
      <c r="A465" s="9"/>
      <c r="B465" s="3"/>
      <c r="C465" s="3"/>
      <c r="D465" s="3"/>
      <c r="E465" s="3"/>
      <c r="F465" s="3"/>
      <c r="G465" s="3"/>
    </row>
    <row r="466" spans="1:7">
      <c r="A466" s="9"/>
      <c r="B466" s="3"/>
      <c r="C466" s="3"/>
      <c r="D466" s="3"/>
      <c r="E466" s="3"/>
      <c r="F466" s="3"/>
      <c r="G466" s="3"/>
    </row>
    <row r="467" spans="1:7">
      <c r="A467" s="9"/>
      <c r="B467" s="3"/>
      <c r="C467" s="3"/>
      <c r="D467" s="3"/>
      <c r="E467" s="3"/>
      <c r="F467" s="3"/>
      <c r="G467" s="3"/>
    </row>
    <row r="468" spans="1:7">
      <c r="A468" s="9"/>
      <c r="B468" s="3"/>
      <c r="C468" s="3"/>
      <c r="D468" s="3"/>
      <c r="E468" s="3"/>
      <c r="F468" s="3"/>
      <c r="G468" s="3"/>
    </row>
    <row r="469" spans="1:7">
      <c r="A469" s="9"/>
      <c r="B469" s="3"/>
      <c r="C469" s="3"/>
      <c r="D469" s="3"/>
      <c r="E469" s="3"/>
      <c r="F469" s="3"/>
      <c r="G469" s="3"/>
    </row>
    <row r="470" spans="1:7">
      <c r="A470" s="9"/>
      <c r="B470" s="3"/>
      <c r="C470" s="3"/>
      <c r="D470" s="3"/>
      <c r="E470" s="3"/>
      <c r="F470" s="3"/>
      <c r="G470" s="3"/>
    </row>
    <row r="471" spans="1:7">
      <c r="A471" s="9"/>
      <c r="B471" s="3"/>
      <c r="C471" s="3"/>
      <c r="D471" s="3"/>
      <c r="E471" s="3"/>
      <c r="F471" s="3"/>
      <c r="G471" s="3"/>
    </row>
    <row r="472" spans="1:7">
      <c r="A472" s="9"/>
      <c r="B472" s="3"/>
      <c r="C472" s="3"/>
      <c r="D472" s="3"/>
      <c r="E472" s="3"/>
      <c r="F472" s="3"/>
      <c r="G472" s="3"/>
    </row>
    <row r="473" spans="1:7">
      <c r="A473" s="9"/>
      <c r="B473" s="3"/>
      <c r="C473" s="3"/>
      <c r="D473" s="3"/>
      <c r="E473" s="3"/>
      <c r="F473" s="3"/>
      <c r="G473" s="3"/>
    </row>
    <row r="474" spans="1:7">
      <c r="A474" s="9"/>
      <c r="B474" s="3"/>
      <c r="C474" s="3"/>
      <c r="D474" s="3"/>
      <c r="E474" s="3"/>
      <c r="F474" s="3"/>
      <c r="G474" s="3"/>
    </row>
    <row r="475" spans="1:7">
      <c r="A475" s="9"/>
      <c r="B475" s="3"/>
      <c r="C475" s="3"/>
      <c r="D475" s="3"/>
      <c r="E475" s="3"/>
      <c r="F475" s="3"/>
      <c r="G475" s="3"/>
    </row>
    <row r="476" spans="1:7">
      <c r="A476" s="9"/>
      <c r="B476" s="3"/>
      <c r="C476" s="3"/>
      <c r="D476" s="3"/>
      <c r="E476" s="3"/>
      <c r="F476" s="3"/>
      <c r="G476" s="3"/>
    </row>
    <row r="477" spans="1:7">
      <c r="A477" s="9"/>
      <c r="B477" s="3"/>
      <c r="C477" s="3"/>
      <c r="D477" s="3"/>
      <c r="E477" s="3"/>
      <c r="F477" s="3"/>
      <c r="G477" s="3"/>
    </row>
    <row r="478" spans="1:7">
      <c r="A478" s="9"/>
      <c r="B478" s="3"/>
      <c r="C478" s="3"/>
      <c r="D478" s="3"/>
      <c r="E478" s="3"/>
      <c r="F478" s="3"/>
      <c r="G478" s="3"/>
    </row>
    <row r="479" spans="1:7">
      <c r="A479" s="9"/>
      <c r="B479" s="3"/>
      <c r="C479" s="3"/>
      <c r="D479" s="3"/>
      <c r="E479" s="3"/>
      <c r="F479" s="3"/>
      <c r="G479" s="3"/>
    </row>
    <row r="480" spans="1:7">
      <c r="A480" s="9"/>
      <c r="B480" s="3"/>
      <c r="C480" s="3"/>
      <c r="D480" s="3"/>
      <c r="E480" s="3"/>
      <c r="F480" s="3"/>
      <c r="G480" s="3"/>
    </row>
    <row r="481" spans="1:7">
      <c r="A481" s="9"/>
      <c r="B481" s="3"/>
      <c r="C481" s="3"/>
      <c r="D481" s="3"/>
      <c r="E481" s="3"/>
      <c r="F481" s="3"/>
      <c r="G481" s="3"/>
    </row>
    <row r="482" spans="1:7">
      <c r="A482" s="9"/>
      <c r="B482" s="3"/>
      <c r="C482" s="3"/>
      <c r="D482" s="3"/>
      <c r="E482" s="3"/>
      <c r="F482" s="3"/>
      <c r="G482" s="3"/>
    </row>
    <row r="483" spans="1:7">
      <c r="A483" s="9"/>
      <c r="B483" s="3"/>
      <c r="C483" s="3"/>
      <c r="D483" s="3"/>
      <c r="E483" s="3"/>
      <c r="F483" s="3"/>
      <c r="G483" s="3"/>
    </row>
    <row r="484" spans="1:7">
      <c r="A484" s="9"/>
      <c r="B484" s="3"/>
      <c r="C484" s="3"/>
      <c r="D484" s="3"/>
      <c r="E484" s="3"/>
      <c r="F484" s="3"/>
      <c r="G484" s="3"/>
    </row>
    <row r="485" spans="1:7">
      <c r="A485" s="9"/>
      <c r="B485" s="3"/>
      <c r="C485" s="3"/>
      <c r="D485" s="3"/>
      <c r="E485" s="3"/>
      <c r="F485" s="3"/>
      <c r="G485" s="3"/>
    </row>
    <row r="486" spans="1:7">
      <c r="A486" s="9"/>
      <c r="B486" s="3"/>
      <c r="C486" s="3"/>
      <c r="D486" s="3"/>
      <c r="E486" s="3"/>
      <c r="F486" s="3"/>
      <c r="G486" s="3"/>
    </row>
    <row r="487" spans="1:7">
      <c r="A487" s="9"/>
      <c r="B487" s="3"/>
      <c r="C487" s="3"/>
      <c r="D487" s="3"/>
      <c r="E487" s="3"/>
      <c r="F487" s="3"/>
      <c r="G487" s="3"/>
    </row>
    <row r="488" spans="1:7">
      <c r="A488" s="9"/>
      <c r="B488" s="3"/>
      <c r="C488" s="3"/>
      <c r="D488" s="3"/>
      <c r="E488" s="3"/>
      <c r="F488" s="3"/>
      <c r="G488" s="3"/>
    </row>
    <row r="489" spans="1:7">
      <c r="A489" s="9"/>
      <c r="B489" s="3"/>
      <c r="C489" s="3"/>
      <c r="D489" s="3"/>
      <c r="E489" s="3"/>
      <c r="F489" s="3"/>
      <c r="G489" s="3"/>
    </row>
    <row r="490" spans="1:7">
      <c r="A490" s="9"/>
      <c r="B490" s="3"/>
      <c r="C490" s="3"/>
      <c r="D490" s="3"/>
      <c r="E490" s="3"/>
      <c r="F490" s="3"/>
      <c r="G490" s="3"/>
    </row>
    <row r="491" spans="1:7">
      <c r="A491" s="9"/>
      <c r="B491" s="3"/>
      <c r="C491" s="3"/>
      <c r="D491" s="3"/>
      <c r="E491" s="3"/>
      <c r="F491" s="3"/>
      <c r="G491" s="3"/>
    </row>
    <row r="492" spans="1:7">
      <c r="A492" s="9"/>
      <c r="B492" s="3"/>
      <c r="C492" s="3"/>
      <c r="D492" s="3"/>
      <c r="E492" s="3"/>
      <c r="F492" s="3"/>
      <c r="G492" s="3"/>
    </row>
    <row r="493" spans="1:7">
      <c r="A493" s="9"/>
      <c r="B493" s="3"/>
      <c r="C493" s="3"/>
      <c r="D493" s="3"/>
      <c r="E493" s="3"/>
      <c r="F493" s="3"/>
      <c r="G493" s="3"/>
    </row>
    <row r="494" spans="1:7">
      <c r="A494" s="9"/>
      <c r="B494" s="3"/>
      <c r="C494" s="3"/>
      <c r="D494" s="3"/>
      <c r="E494" s="3"/>
      <c r="F494" s="3"/>
      <c r="G494" s="3"/>
    </row>
    <row r="495" spans="1:7">
      <c r="A495" s="9"/>
      <c r="B495" s="3"/>
      <c r="C495" s="3"/>
      <c r="D495" s="3"/>
      <c r="E495" s="3"/>
      <c r="F495" s="3"/>
      <c r="G495" s="3"/>
    </row>
    <row r="496" spans="1:7">
      <c r="A496" s="9"/>
      <c r="B496" s="3"/>
      <c r="C496" s="3"/>
      <c r="D496" s="3"/>
      <c r="E496" s="3"/>
      <c r="F496" s="3"/>
      <c r="G496" s="3"/>
    </row>
    <row r="497" spans="1:7">
      <c r="A497" s="9"/>
      <c r="B497" s="3"/>
      <c r="C497" s="3"/>
      <c r="D497" s="3"/>
      <c r="E497" s="3"/>
      <c r="F497" s="3"/>
      <c r="G497" s="3"/>
    </row>
    <row r="498" spans="1:7">
      <c r="A498" s="9"/>
      <c r="B498" s="3"/>
      <c r="C498" s="3"/>
      <c r="D498" s="3"/>
      <c r="E498" s="3"/>
      <c r="F498" s="3"/>
      <c r="G498" s="3"/>
    </row>
    <row r="499" spans="1:7">
      <c r="A499" s="9"/>
      <c r="B499" s="3"/>
      <c r="C499" s="3"/>
      <c r="D499" s="3"/>
      <c r="E499" s="3"/>
      <c r="F499" s="3"/>
      <c r="G499" s="3"/>
    </row>
    <row r="500" spans="1:7">
      <c r="A500" s="9"/>
      <c r="B500" s="3"/>
      <c r="C500" s="3"/>
      <c r="D500" s="3"/>
      <c r="E500" s="3"/>
      <c r="F500" s="3"/>
      <c r="G500" s="3"/>
    </row>
    <row r="501" spans="1:7">
      <c r="A501" s="9"/>
      <c r="B501" s="3"/>
      <c r="C501" s="3"/>
      <c r="D501" s="3"/>
      <c r="E501" s="3"/>
      <c r="F501" s="3"/>
      <c r="G501" s="3"/>
    </row>
    <row r="502" spans="1:7">
      <c r="A502" s="9"/>
      <c r="B502" s="3"/>
      <c r="C502" s="3"/>
      <c r="D502" s="3"/>
      <c r="E502" s="3"/>
      <c r="F502" s="3"/>
      <c r="G502" s="3"/>
    </row>
    <row r="503" spans="1:7">
      <c r="A503" s="9"/>
      <c r="B503" s="3"/>
      <c r="C503" s="3"/>
      <c r="D503" s="3"/>
      <c r="E503" s="3"/>
      <c r="F503" s="3"/>
      <c r="G503" s="3"/>
    </row>
    <row r="504" spans="1:7">
      <c r="A504" s="9"/>
      <c r="B504" s="3"/>
      <c r="C504" s="3"/>
      <c r="D504" s="3"/>
      <c r="E504" s="3"/>
      <c r="F504" s="3"/>
      <c r="G504" s="3"/>
    </row>
  </sheetData>
  <dataValidations count="3">
    <dataValidation type="list" sqref="B5:B504" xr:uid="{00000000-0002-0000-0300-000000000000}">
      <formula1>"VOL-01,VOL-02,VOL-03,VOL-04,CAM-01,CAM-02,MIN-01,COM-01"</formula1>
    </dataValidation>
    <dataValidation type="list" sqref="D5:D504" xr:uid="{00000000-0002-0000-0300-000001000000}">
      <formula1>"Día,Noche"</formula1>
    </dataValidation>
    <dataValidation type="list" sqref="F5:F504" xr:uid="{00000000-0002-0000-0300-000002000000}">
      <formula1>"0,1"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Seguridad</vt:lpstr>
      <vt:lpstr>Operaciones</vt:lpstr>
      <vt:lpstr>Datos</vt:lpstr>
      <vt:lpstr>Telemetría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Jhamner Rolando Sıғυптεƨ vasquez</dc:creator>
  <cp:lastModifiedBy>Jhamner Rolando Sıғυптεƨ vasquez</cp:lastModifiedBy>
  <dcterms:created xsi:type="dcterms:W3CDTF">2026-10-14T23:56:54Z</dcterms:created>
  <dcterms:modified xsi:type="dcterms:W3CDTF">2026-10-14T23:56:54Z</dcterms:modified>
</cp:coreProperties>
</file>